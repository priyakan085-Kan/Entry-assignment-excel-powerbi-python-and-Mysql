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f416991a484d2d0/Desktop/"/>
    </mc:Choice>
  </mc:AlternateContent>
  <xr:revisionPtr revIDLastSave="34" documentId="13_ncr:1_{5B4D72E6-9401-401F-9291-F5AB6CC94AD9}" xr6:coauthVersionLast="47" xr6:coauthVersionMax="47" xr10:uidLastSave="{C508D13B-5D0B-4ACB-913A-71309D3043EB}"/>
  <bookViews>
    <workbookView xWindow="-108" yWindow="-108" windowWidth="23256" windowHeight="12456" activeTab="1" xr2:uid="{00000000-000D-0000-FFFF-FFFF00000000}"/>
  </bookViews>
  <sheets>
    <sheet name="Data" sheetId="1" r:id="rId1"/>
    <sheet name="Dataset-11-11-2025" sheetId="2" r:id="rId2"/>
    <sheet name="Sheet1" sheetId="3" r:id="rId3"/>
    <sheet name="Sheet2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N51" i="3" a="1"/>
  <c r="N51" i="3" s="1"/>
  <c r="N50" i="3"/>
  <c r="N49" i="3"/>
  <c r="E44" i="3"/>
  <c r="E43" i="3"/>
  <c r="J42" i="3"/>
  <c r="E42" i="3"/>
  <c r="E35" i="3"/>
  <c r="E34" i="3"/>
  <c r="E41" i="3" s="1"/>
  <c r="N33" i="3"/>
  <c r="N32" i="3"/>
  <c r="N31" i="3"/>
  <c r="N30" i="3"/>
  <c r="K26" i="3"/>
  <c r="J26" i="3"/>
  <c r="K25" i="3"/>
  <c r="J25" i="3"/>
  <c r="K24" i="3"/>
  <c r="J24" i="3"/>
  <c r="K23" i="3"/>
  <c r="J23" i="3"/>
  <c r="K22" i="3"/>
  <c r="J22" i="3"/>
  <c r="K21" i="3"/>
  <c r="J21" i="3"/>
  <c r="K20" i="3"/>
  <c r="J20" i="3"/>
  <c r="K19" i="3"/>
  <c r="J19" i="3"/>
  <c r="K18" i="3"/>
  <c r="J18" i="3"/>
  <c r="K17" i="3"/>
  <c r="J17" i="3"/>
  <c r="S16" i="3"/>
  <c r="K16" i="3"/>
  <c r="J16" i="3"/>
  <c r="S15" i="3"/>
  <c r="V15" i="3" s="1"/>
  <c r="K15" i="3"/>
  <c r="J15" i="3"/>
  <c r="K14" i="3"/>
  <c r="J14" i="3"/>
  <c r="K13" i="3"/>
  <c r="J13" i="3"/>
  <c r="K12" i="3"/>
  <c r="J12" i="3"/>
  <c r="K11" i="3"/>
  <c r="J11" i="3"/>
  <c r="K10" i="3"/>
  <c r="J10" i="3"/>
  <c r="K9" i="3"/>
  <c r="J9" i="3"/>
  <c r="K8" i="3"/>
  <c r="J8" i="3"/>
  <c r="K7" i="3"/>
  <c r="J7" i="3"/>
  <c r="J4" i="3" a="1"/>
  <c r="J4" i="3" s="1"/>
  <c r="J3" i="3" a="1"/>
  <c r="J3" i="3" s="1"/>
  <c r="A1" i="4"/>
  <c r="S16" i="2"/>
  <c r="S15" i="2"/>
  <c r="U15" i="2" s="1"/>
  <c r="N51" i="2" a="1"/>
  <c r="N51" i="2" s="1"/>
  <c r="N50" i="2"/>
  <c r="N49" i="2"/>
  <c r="E44" i="2"/>
  <c r="E43" i="2"/>
  <c r="J42" i="2"/>
  <c r="E42" i="2"/>
  <c r="E35" i="2"/>
  <c r="E34" i="2"/>
  <c r="E41" i="2" s="1"/>
  <c r="N33" i="2"/>
  <c r="N32" i="2"/>
  <c r="N31" i="2"/>
  <c r="N30" i="2"/>
  <c r="K26" i="2"/>
  <c r="J26" i="2"/>
  <c r="K25" i="2"/>
  <c r="J25" i="2"/>
  <c r="K24" i="2"/>
  <c r="J24" i="2"/>
  <c r="K23" i="2"/>
  <c r="J23" i="2"/>
  <c r="K22" i="2"/>
  <c r="J22" i="2"/>
  <c r="K21" i="2"/>
  <c r="J21" i="2"/>
  <c r="K20" i="2"/>
  <c r="J20" i="2"/>
  <c r="K19" i="2"/>
  <c r="J19" i="2"/>
  <c r="K18" i="2"/>
  <c r="J18" i="2"/>
  <c r="K17" i="2"/>
  <c r="J17" i="2"/>
  <c r="K16" i="2"/>
  <c r="J16" i="2"/>
  <c r="K15" i="2"/>
  <c r="J15" i="2"/>
  <c r="K14" i="2"/>
  <c r="J14" i="2"/>
  <c r="K13" i="2"/>
  <c r="J13" i="2"/>
  <c r="K12" i="2"/>
  <c r="J12" i="2"/>
  <c r="K11" i="2"/>
  <c r="J11" i="2"/>
  <c r="K10" i="2"/>
  <c r="J10" i="2"/>
  <c r="K9" i="2"/>
  <c r="J9" i="2"/>
  <c r="K8" i="2"/>
  <c r="J8" i="2"/>
  <c r="K7" i="2"/>
  <c r="J7" i="2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N30" i="1"/>
  <c r="N31" i="1"/>
  <c r="N32" i="1"/>
  <c r="N33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E43" i="1"/>
  <c r="N51" i="1" a="1"/>
  <c r="N51" i="1"/>
  <c r="N49" i="1"/>
  <c r="E44" i="1"/>
  <c r="E42" i="1"/>
  <c r="E35" i="1"/>
  <c r="E34" i="1"/>
  <c r="E41" i="1" s="1"/>
  <c r="N50" i="1"/>
  <c r="J42" i="1"/>
  <c r="U15" i="3" l="1"/>
  <c r="E38" i="3"/>
  <c r="W15" i="3"/>
  <c r="E39" i="3"/>
  <c r="E37" i="3"/>
  <c r="E40" i="3"/>
  <c r="W15" i="2"/>
  <c r="V15" i="2"/>
  <c r="E40" i="2"/>
  <c r="E38" i="2"/>
  <c r="E37" i="2"/>
  <c r="E39" i="2"/>
  <c r="E39" i="1"/>
  <c r="E38" i="1"/>
  <c r="E40" i="1"/>
  <c r="E3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<sst xmlns="http://schemas.openxmlformats.org/spreadsheetml/2006/main" count="621" uniqueCount="165">
  <si>
    <r>
      <rPr>
        <b/>
        <sz val="12"/>
        <color rgb="FF000000"/>
        <rFont val="Calibri"/>
        <family val="2"/>
        <scheme val="minor"/>
      </rPr>
      <t xml:space="preserve">VLOOKUP (Vertical Lookup)
</t>
    </r>
    <r>
      <rPr>
        <b/>
        <sz val="12"/>
        <color rgb="FF31869B"/>
        <rFont val="Calibri"/>
        <family val="2"/>
        <scheme val="minor"/>
      </rPr>
      <t xml:space="preserve">
Use case: Look up DeptCode in the main table and return DeptName from the Dept lookup table.
=VLOOKUP(D9,Table4[[DeptCode]:[DeptName]],2,FALSE)</t>
    </r>
  </si>
  <si>
    <t>DeptCode</t>
  </si>
  <si>
    <t>DeptName</t>
  </si>
  <si>
    <t>Manager</t>
  </si>
  <si>
    <t>CostCenter</t>
  </si>
  <si>
    <t>SLS</t>
  </si>
  <si>
    <t>Sales</t>
  </si>
  <si>
    <t>Anita Verma</t>
  </si>
  <si>
    <t>6001</t>
  </si>
  <si>
    <t>HR</t>
  </si>
  <si>
    <t>Human Resources</t>
  </si>
  <si>
    <t>Vijay Rao</t>
  </si>
  <si>
    <t>6002</t>
  </si>
  <si>
    <t>IT</t>
  </si>
  <si>
    <t>Information Technology</t>
  </si>
  <si>
    <t>Meera Iyer</t>
  </si>
  <si>
    <t>6003</t>
  </si>
  <si>
    <t>EmployeeID</t>
  </si>
  <si>
    <t>SKU</t>
  </si>
  <si>
    <t>Name</t>
  </si>
  <si>
    <t>JoinDate</t>
  </si>
  <si>
    <t>BirthDate</t>
  </si>
  <si>
    <t>LastLogin</t>
  </si>
  <si>
    <t>BaseSalary</t>
  </si>
  <si>
    <t>PerformanceScore</t>
  </si>
  <si>
    <t>Dept name</t>
  </si>
  <si>
    <t>FIN</t>
  </si>
  <si>
    <t>Finance</t>
  </si>
  <si>
    <t>Arun Sharma</t>
  </si>
  <si>
    <t>6004</t>
  </si>
  <si>
    <t>E101</t>
  </si>
  <si>
    <t>P100</t>
  </si>
  <si>
    <t>John Smith</t>
  </si>
  <si>
    <t>2019-05-10</t>
  </si>
  <si>
    <t>1991-04-15</t>
  </si>
  <si>
    <t>E102</t>
  </si>
  <si>
    <t>P101</t>
  </si>
  <si>
    <t>Anna Lee</t>
  </si>
  <si>
    <t>2018-03-14</t>
  </si>
  <si>
    <t>1988-10-22</t>
  </si>
  <si>
    <t>E103</t>
  </si>
  <si>
    <t>P102</t>
  </si>
  <si>
    <t>Raj Kumar</t>
  </si>
  <si>
    <t>2020-07-21</t>
  </si>
  <si>
    <t>1994-02-11</t>
  </si>
  <si>
    <t>E104</t>
  </si>
  <si>
    <t>Maria Jose</t>
  </si>
  <si>
    <t>2019-09-18</t>
  </si>
  <si>
    <t>1992-12-02</t>
  </si>
  <si>
    <t>E105</t>
  </si>
  <si>
    <t>P103</t>
  </si>
  <si>
    <t>Ahmed Ali</t>
  </si>
  <si>
    <t>2015-01-05</t>
  </si>
  <si>
    <t>1980-05-30</t>
  </si>
  <si>
    <t>E106</t>
  </si>
  <si>
    <t>P104</t>
  </si>
  <si>
    <t>Priya N</t>
  </si>
  <si>
    <t>2021-11-23</t>
  </si>
  <si>
    <t>1993-03-19</t>
  </si>
  <si>
    <t>E107</t>
  </si>
  <si>
    <t>P105</t>
  </si>
  <si>
    <t>James Wong</t>
  </si>
  <si>
    <t>2017-04-12</t>
  </si>
  <si>
    <t>1987-09-05</t>
  </si>
  <si>
    <t>E108</t>
  </si>
  <si>
    <t>Chen Wei</t>
  </si>
  <si>
    <t>2016-02-20</t>
  </si>
  <si>
    <t>1984-07-17</t>
  </si>
  <si>
    <t>E109</t>
  </si>
  <si>
    <t>Neha Singh</t>
  </si>
  <si>
    <t>2018-08-30</t>
  </si>
  <si>
    <t>1991-01-27</t>
  </si>
  <si>
    <t>E110</t>
  </si>
  <si>
    <t>Peter Pan</t>
  </si>
  <si>
    <t>2019-12-11</t>
  </si>
  <si>
    <t>1989-06-14</t>
  </si>
  <si>
    <t>E111</t>
  </si>
  <si>
    <t>Luis M</t>
  </si>
  <si>
    <t>2020-10-15</t>
  </si>
  <si>
    <t>1992-08-01</t>
  </si>
  <si>
    <t>E112</t>
  </si>
  <si>
    <t>Sara Khan</t>
  </si>
  <si>
    <t>2021-01-25</t>
  </si>
  <si>
    <t>1996-03-08</t>
  </si>
  <si>
    <t>E113</t>
  </si>
  <si>
    <t>David Lee</t>
  </si>
  <si>
    <t>2014-07-19</t>
  </si>
  <si>
    <t>1981-11-12</t>
  </si>
  <si>
    <t>E114</t>
  </si>
  <si>
    <t>Aisha Patel</t>
  </si>
  <si>
    <t>2022-03-08</t>
  </si>
  <si>
    <t>1995-09-29</t>
  </si>
  <si>
    <t>Column1</t>
  </si>
  <si>
    <t>A</t>
  </si>
  <si>
    <t>B</t>
  </si>
  <si>
    <t>C</t>
  </si>
  <si>
    <t>D</t>
  </si>
  <si>
    <t>E115</t>
  </si>
  <si>
    <t>John Deo</t>
  </si>
  <si>
    <t>2019-06-06</t>
  </si>
  <si>
    <t>1993-04-04</t>
  </si>
  <si>
    <t>BonusPct</t>
  </si>
  <si>
    <t>E116</t>
  </si>
  <si>
    <t>Sneha Roy</t>
  </si>
  <si>
    <t>2018-09-13</t>
  </si>
  <si>
    <t>1990-02-02</t>
  </si>
  <si>
    <t>E117</t>
  </si>
  <si>
    <t>Mark Smith</t>
  </si>
  <si>
    <t>2020-05-02</t>
  </si>
  <si>
    <t>1986-10-10</t>
  </si>
  <si>
    <t>E118</t>
  </si>
  <si>
    <t>Li Na</t>
  </si>
  <si>
    <t>2017-08-28</t>
  </si>
  <si>
    <t>1988-01-18</t>
  </si>
  <si>
    <r>
      <rPr>
        <b/>
        <sz val="18"/>
        <color rgb="FF000000"/>
        <rFont val="Calibri"/>
        <family val="2"/>
        <scheme val="minor"/>
      </rPr>
      <t xml:space="preserve">HLOOKUP (Horizontal Lookup)
</t>
    </r>
    <r>
      <rPr>
        <b/>
        <sz val="12"/>
        <color rgb="FF31869B"/>
        <rFont val="Calibri"/>
        <family val="2"/>
        <scheme val="minor"/>
      </rPr>
      <t>Use case: Fetch Bonus % based on Grade (A, B, C, D) using the Bonus table at the bottom.
=HLOOKUP([@Grade],Table2[[#All],[A]:[D]],2)</t>
    </r>
  </si>
  <si>
    <t>E119</t>
  </si>
  <si>
    <t>Tom Cruise</t>
  </si>
  <si>
    <t>2016-11-22</t>
  </si>
  <si>
    <t>1985-07-07</t>
  </si>
  <si>
    <t>E120</t>
  </si>
  <si>
    <t>Riya Mehta</t>
  </si>
  <si>
    <t>2015-12-10</t>
  </si>
  <si>
    <t>1987-02-25</t>
  </si>
  <si>
    <t>MinScore</t>
  </si>
  <si>
    <t>Grade</t>
  </si>
  <si>
    <t>Grade percentage</t>
  </si>
  <si>
    <t>Date and Time functions</t>
  </si>
  <si>
    <t>Today=</t>
  </si>
  <si>
    <t>Now=</t>
  </si>
  <si>
    <t>year=</t>
  </si>
  <si>
    <r>
      <rPr>
        <b/>
        <sz val="11"/>
        <color rgb="FFC0504D"/>
        <rFont val="Calibri"/>
        <family val="2"/>
        <scheme val="minor"/>
      </rPr>
      <t xml:space="preserve">INDEX + MATCH :
Returns the value sitting at the intersection of that row and column
Syntax:=INDEX(array, row_num, [column_num])
-  array =&gt; the table or range.
-row_num = which row inside the array
-column_num =&gt; which column inside the array
</t>
    </r>
    <r>
      <rPr>
        <b/>
        <sz val="11"/>
        <color rgb="FF000000"/>
        <rFont val="Calibri"/>
        <family val="2"/>
        <scheme val="minor"/>
      </rPr>
      <t xml:space="preserve">Look up UnitPrice from SKU using Product lookup :
</t>
    </r>
    <r>
      <rPr>
        <b/>
        <sz val="11"/>
        <color rgb="FFC0504D"/>
        <rFont val="Calibri"/>
        <family val="2"/>
        <scheme val="minor"/>
      </rPr>
      <t xml:space="preserve">
</t>
    </r>
  </si>
  <si>
    <r>
      <rPr>
        <b/>
        <sz val="11"/>
        <color rgb="FFC0504D"/>
        <rFont val="Calibri"/>
        <family val="2"/>
        <scheme val="minor"/>
      </rPr>
      <t xml:space="preserve">MATCH
</t>
    </r>
    <r>
      <rPr>
        <sz val="11"/>
        <color rgb="FF000000"/>
        <rFont val="Calibri"/>
        <family val="2"/>
        <scheme val="minor"/>
      </rPr>
      <t>=MATCH(lookup_value, lookup_array, [match_type])
Finds the position of a value in a column or row.</t>
    </r>
  </si>
  <si>
    <t>Month</t>
  </si>
  <si>
    <t>day</t>
  </si>
  <si>
    <t>weekday in number</t>
  </si>
  <si>
    <t>1-mon,2-tue,3-wed,4-thur,5-fri,6-sat,7-sun</t>
  </si>
  <si>
    <t>display weekday name using choose()</t>
  </si>
  <si>
    <t>ProductName</t>
  </si>
  <si>
    <t>UnitPrice</t>
  </si>
  <si>
    <t>tenure in years</t>
  </si>
  <si>
    <t>CRM License</t>
  </si>
  <si>
    <t>Tenure months remainder</t>
  </si>
  <si>
    <t>HRMS License</t>
  </si>
  <si>
    <t>Age in years</t>
  </si>
  <si>
    <t>Dev Tools Suite</t>
  </si>
  <si>
    <t>Financial Suite</t>
  </si>
  <si>
    <t>Cloud Credits Pack</t>
  </si>
  <si>
    <t>Sales Enablement Kit</t>
  </si>
  <si>
    <t>MATCH – find the row number of SKU</t>
  </si>
  <si>
    <t>INDEX – fetch value directly by row and column
Formula (get 4th row, 3rd column = UnitPrice):</t>
  </si>
  <si>
    <t>INDEX + MATCH – combine both (dynamic lookup)
Get UnitPrice for a SKU (example: "P103"):</t>
  </si>
  <si>
    <t>Teaching Tip (Step by Step for Students)
Start with MATCH() alone → show that it only gives a row number.
Then try INDEX() alone → show how it fetches value by row+col.
Finally combine → INDEX + MATCH = "Find row automatically, then fetch value".
Compare with VLOOKUP → show that INDEX+MATCH can search left or right and doesn’t break if you rearrange columns.</t>
  </si>
  <si>
    <r>
      <rPr>
        <b/>
        <sz val="12"/>
        <color rgb="FF000000"/>
        <rFont val="Calibri"/>
        <family val="2"/>
        <scheme val="minor"/>
      </rPr>
      <t xml:space="preserve">XLOOKUP (Vertical Lookup)
</t>
    </r>
    <r>
      <rPr>
        <b/>
        <sz val="12"/>
        <color rgb="FF31869B"/>
        <rFont val="Calibri"/>
        <family val="2"/>
        <scheme val="minor"/>
      </rPr>
      <t>Use case: Look up DeptCode in the main table and return DeptManager from the Dept lookup table.
=XLOOKUP(D8,Table4[DeptCode],Table4[Manager],"Not assigned",0)</t>
    </r>
  </si>
  <si>
    <t>Date</t>
  </si>
  <si>
    <t>Date and time</t>
  </si>
  <si>
    <t>year</t>
  </si>
  <si>
    <t>month</t>
  </si>
  <si>
    <t>Day</t>
  </si>
  <si>
    <t>Date  and Time Function</t>
  </si>
  <si>
    <t>today()</t>
  </si>
  <si>
    <t>now()</t>
  </si>
  <si>
    <t>year(11-11-2025)</t>
  </si>
  <si>
    <t>MONTH(11-11-2025)</t>
  </si>
  <si>
    <t>DAY(11-11-2025)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</si>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</sst>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5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C0504D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1869B"/>
      <name val="Calibri"/>
      <family val="2"/>
      <scheme val="minor"/>
    </font>
    <font>
      <b/>
      <sz val="18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1" xfId="0" applyFont="1" applyBorder="1" applyAlignment="1">
      <alignment horizontal="center" vertical="top"/>
    </xf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0" borderId="0" xfId="0" applyFont="1"/>
    <xf numFmtId="14" fontId="2" fillId="0" borderId="1" xfId="0" applyNumberFormat="1" applyFont="1" applyBorder="1" applyAlignment="1">
      <alignment horizontal="center" vertical="top"/>
    </xf>
    <xf numFmtId="14" fontId="0" fillId="0" borderId="0" xfId="0" applyNumberFormat="1" applyAlignment="1">
      <alignment horizontal="center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10" fillId="0" borderId="0" xfId="0" applyFont="1"/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wrapText="1"/>
    </xf>
    <xf numFmtId="0" fontId="4" fillId="0" borderId="0" xfId="0" applyFont="1" applyAlignment="1">
      <alignment horizontal="center" vertical="center" wrapText="1"/>
    </xf>
    <xf numFmtId="0" fontId="12" fillId="0" borderId="0" xfId="0" applyFont="1" applyAlignment="1">
      <alignment wrapText="1"/>
    </xf>
    <xf numFmtId="22" fontId="0" fillId="0" borderId="0" xfId="0" applyNumberFormat="1"/>
    <xf numFmtId="0" fontId="0" fillId="0" borderId="0" xfId="0" applyAlignment="1">
      <alignment horizontal="center" wrapText="1"/>
    </xf>
    <xf numFmtId="0" fontId="2" fillId="2" borderId="0" xfId="0" applyFont="1" applyFill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90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F8A13F-8E9B-4C36-BC76-65B6E6630041}" name="Table1" displayName="Table1" ref="L29:N33" totalsRowShown="0">
  <autoFilter ref="L29:N33" xr:uid="{BAF8A13F-8E9B-4C36-BC76-65B6E6630041}"/>
  <tableColumns count="3">
    <tableColumn id="1" xr3:uid="{1EE19CEA-D517-4A6A-A941-D2A98E0CD6F7}" name="MinScore" dataDxfId="89"/>
    <tableColumn id="2" xr3:uid="{5071774E-6928-4E32-ADC4-C5C100DB3681}" name="Grade" dataDxfId="88"/>
    <tableColumn id="3" xr3:uid="{500ADF0C-421C-48D5-86F0-3BAB3E16C3BB}" name="Grade percentage" dataDxfId="87">
      <calculatedColumnFormula>HLOOKUP(Table1[[#This Row],[Grade]],Table2[[#All],[A]:[D]],2,FALSE)</calculatedColumnFormula>
    </tableColumn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3A0D45-E9F8-492B-8FCA-391F107DD35E}" name="Table2" displayName="Table2" ref="L20:P21" totalsRowShown="0" headerRowDxfId="86" dataDxfId="85">
  <autoFilter ref="L20:P21" xr:uid="{BA3A0D45-E9F8-492B-8FCA-391F107DD35E}"/>
  <tableColumns count="5">
    <tableColumn id="1" xr3:uid="{98DF42A4-1C6F-401D-9884-CD580EBA5ECD}" name="Column1" dataDxfId="84"/>
    <tableColumn id="2" xr3:uid="{C7BCA360-3A3B-4747-9CE4-34CBC93EEC42}" name="A" dataDxfId="83"/>
    <tableColumn id="3" xr3:uid="{2227EF51-C5E3-4E9D-A176-1D0DB488D114}" name="B" dataDxfId="82"/>
    <tableColumn id="4" xr3:uid="{C981145E-9251-4CEE-8715-2F0E4B3E15B5}" name="C" dataDxfId="81"/>
    <tableColumn id="5" xr3:uid="{C7FC2F59-B0BF-46CF-BE4B-076DD0915F36}" name="D" dataDxfId="80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0B4AB33-F35A-4B97-9948-B06D4CC588E7}" name="Table3" displayName="Table3" ref="L41:N47" totalsRowShown="0">
  <autoFilter ref="L41:N47" xr:uid="{80B4AB33-F35A-4B97-9948-B06D4CC588E7}"/>
  <tableColumns count="3">
    <tableColumn id="1" xr3:uid="{657A4B9C-29B0-4CCC-BE75-6A4633721107}" name="SKU" dataDxfId="79"/>
    <tableColumn id="2" xr3:uid="{98534415-B991-4BCC-9A12-B38890C9E504}" name="ProductName" dataDxfId="78"/>
    <tableColumn id="3" xr3:uid="{5F90EF46-396E-40A7-B1FF-442A849365C6}" name="UnitPrice" dataDxfId="77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5B570BF-8947-4746-9DCB-481287EC7F88}" name="Table4" displayName="Table4" ref="L2:O6" totalsRowShown="0" headerRowDxfId="76" dataDxfId="74" headerRowBorderDxfId="75" tableBorderDxfId="73">
  <autoFilter ref="L2:O6" xr:uid="{25B570BF-8947-4746-9DCB-481287EC7F88}"/>
  <tableColumns count="4">
    <tableColumn id="1" xr3:uid="{374E6876-2F0F-4F65-93BC-AD17A03E8CAD}" name="DeptCode" dataDxfId="72"/>
    <tableColumn id="2" xr3:uid="{6E42F0A6-D698-4B51-B3D3-0FB9979DABD5}" name="DeptName" dataDxfId="71"/>
    <tableColumn id="3" xr3:uid="{BECF913B-44F7-4068-96ED-B460ED136BD7}" name="Manager" dataDxfId="70"/>
    <tableColumn id="4" xr3:uid="{D63FF8FB-6B0B-496C-B505-B7CC0C3766D1}" name="CostCenter" dataDxfId="69"/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326A1FA-2A06-458B-AD08-CD3659BF4410}" name="Table5" displayName="Table5" ref="E6:K26" totalsRowShown="0" headerRowDxfId="68" dataDxfId="67">
  <autoFilter ref="E6:K26" xr:uid="{A326A1FA-2A06-458B-AD08-CD3659BF4410}"/>
  <tableColumns count="7">
    <tableColumn id="1" xr3:uid="{2475C843-585F-4C41-A673-1FECF1672DCC}" name="JoinDate" dataDxfId="66"/>
    <tableColumn id="2" xr3:uid="{296BEBD5-909E-4734-AC81-67926EABEF3B}" name="BirthDate" dataDxfId="65"/>
    <tableColumn id="3" xr3:uid="{C7BD6CA6-1FC0-4CF2-9BE7-72E68F8DDF54}" name="LastLogin" dataDxfId="64"/>
    <tableColumn id="4" xr3:uid="{1CB58E75-A3F0-4715-849A-8A1B503557F1}" name="BaseSalary" dataDxfId="63"/>
    <tableColumn id="5" xr3:uid="{86C2E677-0D9B-4A58-BBE1-A909159201D9}" name="PerformanceScore" dataDxfId="62"/>
    <tableColumn id="6" xr3:uid="{58B0CE02-BDB6-4C0C-B544-78165662351C}" name="Dept name" dataDxfId="61">
      <calculatedColumnFormula>VLOOKUP(D7,Table4[[DeptCode]:[DeptName]],2,FALSE)</calculatedColumnFormula>
    </tableColumn>
    <tableColumn id="7" xr3:uid="{6F2B9A81-C700-4D07-8B5C-76E1CE57D755}" name="Manager" dataDxfId="60">
      <calculatedColumnFormula>_xlfn.XLOOKUP(D7,Table4[DeptCode],Table4[Manager],"Not assigned",0)</calculatedColumnFormula>
    </tableColumn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40C5BD0-C2AC-4DE8-9D1B-5D0295EF28C4}" name="Table17" displayName="Table17" ref="L29:N33" totalsRowShown="0">
  <autoFilter ref="L29:N33" xr:uid="{C40C5BD0-C2AC-4DE8-9D1B-5D0295EF28C4}"/>
  <tableColumns count="3">
    <tableColumn id="1" xr3:uid="{0F11A37F-0CFD-47CF-AAE2-57165D0A13B6}" name="MinScore" dataDxfId="59"/>
    <tableColumn id="2" xr3:uid="{8D42D43C-077F-4EEA-AB80-71FC84BBC8C4}" name="Grade" dataDxfId="58"/>
    <tableColumn id="3" xr3:uid="{54D32949-3A6A-413B-AD28-671B6F43AA0A}" name="Grade percentage" dataDxfId="57">
      <calculatedColumnFormula>HLOOKUP(Table17[[#This Row],[Grade]],Table28[[#All],[A]:[D]],2,FALSE)</calculatedColumnFormula>
    </tableColumn>
  </tableColumns>
  <tableStyleInfo name="TableStyleMedium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0B87807-DE89-498E-B634-EBB9C08A66E6}" name="Table28" displayName="Table28" ref="L20:P21" totalsRowShown="0" headerRowDxfId="56" dataDxfId="55">
  <autoFilter ref="L20:P21" xr:uid="{50B87807-DE89-498E-B634-EBB9C08A66E6}"/>
  <tableColumns count="5">
    <tableColumn id="1" xr3:uid="{562D19A7-8097-4E59-8BA1-923AF26E8687}" name="Column1" dataDxfId="54"/>
    <tableColumn id="2" xr3:uid="{0D412356-10AE-4B82-90CC-8E0D69F50715}" name="A" dataDxfId="53"/>
    <tableColumn id="3" xr3:uid="{194BE196-4FBB-4A80-8BF9-B0D3D960616B}" name="B" dataDxfId="52"/>
    <tableColumn id="4" xr3:uid="{BC95DB79-D5C2-422F-ADB5-D98033043C86}" name="C" dataDxfId="51"/>
    <tableColumn id="5" xr3:uid="{FC40B778-3B2F-449C-9FB8-88F7DA6E19D0}" name="D" dataDxfId="50"/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21E486C-2C69-4F53-A7B5-FBD358A12586}" name="Table39" displayName="Table39" ref="L41:N47" totalsRowShown="0">
  <autoFilter ref="L41:N47" xr:uid="{521E486C-2C69-4F53-A7B5-FBD358A12586}"/>
  <tableColumns count="3">
    <tableColumn id="1" xr3:uid="{75BB238A-401B-4C97-BE85-017AC76633B1}" name="SKU" dataDxfId="49"/>
    <tableColumn id="2" xr3:uid="{09EBF711-AD18-47BB-B9E0-69634335A4D4}" name="ProductName" dataDxfId="48"/>
    <tableColumn id="3" xr3:uid="{C5499374-59B7-4FA8-A6E1-C065283AF4D0}" name="UnitPrice" dataDxfId="47"/>
  </tableColumns>
  <tableStyleInfo name="TableStyleLight1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F845E5-160C-45EE-A14C-A2373793D4F4}" name="Table410" displayName="Table410" ref="L2:O6" totalsRowShown="0" headerRowDxfId="46" dataDxfId="44" headerRowBorderDxfId="45" tableBorderDxfId="43">
  <autoFilter ref="L2:O6" xr:uid="{7EF845E5-160C-45EE-A14C-A2373793D4F4}"/>
  <tableColumns count="4">
    <tableColumn id="1" xr3:uid="{322E641C-D898-48C8-9ADD-565289A8F15A}" name="DeptCode" dataDxfId="42"/>
    <tableColumn id="2" xr3:uid="{558EBDBF-5287-4897-B424-9E9B3233CEA1}" name="DeptName" dataDxfId="41"/>
    <tableColumn id="3" xr3:uid="{BF76E270-E5B4-4D5B-9EBA-E3B727FF97BD}" name="Manager" dataDxfId="40"/>
    <tableColumn id="4" xr3:uid="{1BE9B5DD-97D3-4AA3-9325-37E5F46ECFA5}" name="CostCenter" dataDxfId="39"/>
  </tableColumns>
  <tableStyleInfo name="TableStyleLight1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814AEEC-FC41-4C6C-81D5-1187B66845BE}" name="Table511" displayName="Table511" ref="E6:K26" totalsRowShown="0" headerRowDxfId="38" dataDxfId="37">
  <autoFilter ref="E6:K26" xr:uid="{9814AEEC-FC41-4C6C-81D5-1187B66845BE}"/>
  <tableColumns count="7">
    <tableColumn id="1" xr3:uid="{008C38DC-A237-4502-86BB-DDCBC840754E}" name="JoinDate" dataDxfId="36"/>
    <tableColumn id="2" xr3:uid="{B4501FCE-C4CB-4779-B489-D5D53A7F8C52}" name="BirthDate" dataDxfId="35"/>
    <tableColumn id="3" xr3:uid="{9AA1112C-2306-46BA-8EEB-590FE4DE1AED}" name="LastLogin" dataDxfId="34"/>
    <tableColumn id="4" xr3:uid="{0FAD8AB7-1E6C-4CF7-AE99-6D21F995BF9C}" name="BaseSalary" dataDxfId="33"/>
    <tableColumn id="5" xr3:uid="{F54A2053-8722-4C69-AB83-2A3A941A9B53}" name="PerformanceScore" dataDxfId="32"/>
    <tableColumn id="6" xr3:uid="{5DB55133-B142-47DB-BE4D-48FB6D714ED5}" name="Dept name" dataDxfId="31">
      <calculatedColumnFormula>VLOOKUP(D7,Table410[[DeptCode]:[DeptName]],2,FALSE)</calculatedColumnFormula>
    </tableColumn>
    <tableColumn id="7" xr3:uid="{D2E3102B-55EB-4CF6-9C51-A5C8DD57F85C}" name="Manager" dataDxfId="30">
      <calculatedColumnFormula>_xlfn.XLOOKUP(D7,Table410[DeptCode],Table410[Manager],"Not assigned",0)</calculatedColumnFormula>
    </tableColumn>
  </tableColumns>
  <tableStyleInfo name="TableStyleLight1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F3250C7-855E-4567-AC9A-DA874894571F}" name="Table1712" displayName="Table1712" ref="L29:N33" totalsRowShown="0">
  <autoFilter ref="L29:N33" xr:uid="{FF3250C7-855E-4567-AC9A-DA874894571F}"/>
  <tableColumns count="3">
    <tableColumn id="1" xr3:uid="{5BA342EA-B555-479E-A7D4-E3A91D63C01B}" name="MinScore" dataDxfId="29"/>
    <tableColumn id="2" xr3:uid="{4D498F7A-3467-409D-81DB-4247C09D2521}" name="Grade" dataDxfId="28"/>
    <tableColumn id="3" xr3:uid="{C832ECA8-7DB2-4E54-9367-40F5F38D5F90}" name="Grade percentage" dataDxfId="27">
      <calculatedColumnFormula>HLOOKUP(Table1712[[#This Row],[Grade]],Table2813[[#All],[A]:[D]],2,FALSE)</calculatedColumnFormula>
    </tableColumn>
  </tableColumns>
  <tableStyleInfo name="TableStyleMedium10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79BAEDC-2E11-4EA3-8F8B-36A87AD85DDB}" name="Table2813" displayName="Table2813" ref="L20:P21" totalsRowShown="0" headerRowDxfId="26" dataDxfId="25">
  <autoFilter ref="L20:P21" xr:uid="{379BAEDC-2E11-4EA3-8F8B-36A87AD85DDB}"/>
  <tableColumns count="5">
    <tableColumn id="1" xr3:uid="{0B31819E-5133-4093-9D89-BB946234A971}" name="Column1" dataDxfId="24"/>
    <tableColumn id="2" xr3:uid="{20355248-A42E-4BE7-B31E-90B7EFC74C7E}" name="A" dataDxfId="23"/>
    <tableColumn id="3" xr3:uid="{0FD7767D-F3C7-46FC-BD24-426922FAA3D0}" name="B" dataDxfId="22"/>
    <tableColumn id="4" xr3:uid="{B7EDFA58-2CE0-4F73-A342-CC0132953072}" name="C" dataDxfId="21"/>
    <tableColumn id="5" xr3:uid="{8715DB0E-B34E-47DD-96D0-BA5EB607604A}" name="D" dataDxfId="20"/>
  </tableColumns>
  <tableStyleInfo name="TableStyleMedium3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BD3A5F8-8F49-4C5E-89B4-1E658CB75D7B}" name="Table3914" displayName="Table3914" ref="L41:N47" totalsRowShown="0">
  <autoFilter ref="L41:N47" xr:uid="{DBD3A5F8-8F49-4C5E-89B4-1E658CB75D7B}"/>
  <tableColumns count="3">
    <tableColumn id="1" xr3:uid="{FAF214B9-0E6E-453C-8522-B5CE556D3414}" name="SKU" dataDxfId="19"/>
    <tableColumn id="2" xr3:uid="{F7992FF6-E662-4F38-8EC5-B676B535FFDC}" name="ProductName" dataDxfId="18"/>
    <tableColumn id="3" xr3:uid="{54166A15-D3D0-4AE2-B20C-0551576468E7}" name="UnitPrice" dataDxfId="17"/>
  </tableColumns>
  <tableStyleInfo name="TableStyleLight1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630ABB7-40F5-4FBD-8300-D79F4E105528}" name="Table41015" displayName="Table41015" ref="L2:O6" totalsRowShown="0" headerRowDxfId="16" dataDxfId="15" headerRowBorderDxfId="13" tableBorderDxfId="14">
  <autoFilter ref="L2:O6" xr:uid="{F630ABB7-40F5-4FBD-8300-D79F4E105528}"/>
  <tableColumns count="4">
    <tableColumn id="1" xr3:uid="{E5A8FED1-1184-489E-802B-0CC91F016E67}" name="DeptCode" dataDxfId="12"/>
    <tableColumn id="2" xr3:uid="{FCA241AE-3792-482C-8B26-1B112EBCCFA8}" name="DeptName" dataDxfId="11"/>
    <tableColumn id="3" xr3:uid="{0E91269E-133D-440A-9489-4FBC9D38708B}" name="Manager" dataDxfId="10"/>
    <tableColumn id="4" xr3:uid="{620F9EA8-ED49-4869-AF72-E03383A650A2}" name="CostCenter" dataDxfId="9"/>
  </tableColumns>
  <tableStyleInfo name="TableStyleLight1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AB758DE-4C42-4168-8F88-CA6999D26F1B}" name="Table51116" displayName="Table51116" ref="E6:K26" totalsRowShown="0" headerRowDxfId="8" dataDxfId="7">
  <autoFilter ref="E6:K26" xr:uid="{FAB758DE-4C42-4168-8F88-CA6999D26F1B}"/>
  <tableColumns count="7">
    <tableColumn id="1" xr3:uid="{845099EB-1158-44BD-AB4E-40A813ED8FEE}" name="JoinDate" dataDxfId="6"/>
    <tableColumn id="2" xr3:uid="{23672E44-DD22-4B16-8155-E9340FD96B09}" name="BirthDate" dataDxfId="5"/>
    <tableColumn id="3" xr3:uid="{02078E5C-1ADA-4808-A8A4-C593269B72FD}" name="LastLogin" dataDxfId="4"/>
    <tableColumn id="4" xr3:uid="{02E0C080-3D28-4A24-84AA-272DA985DE1B}" name="BaseSalary" dataDxfId="3"/>
    <tableColumn id="5" xr3:uid="{EC2D6057-F793-4095-9346-94070BA97AE7}" name="PerformanceScore" dataDxfId="2"/>
    <tableColumn id="6" xr3:uid="{E4CE62A0-BAC4-4494-9902-5F1A07F4F584}" name="Dept name" dataDxfId="1">
      <calculatedColumnFormula>VLOOKUP(D7,Table41015[[DeptCode]:[DeptName]],2,FALSE)</calculatedColumnFormula>
    </tableColumn>
    <tableColumn id="7" xr3:uid="{9AA10100-11B5-4D33-BEF7-D83C03747E00}" name="Manager" dataDxfId="0">
      <calculatedColumnFormula>_xlfn.XLOOKUP(D7,Table41015[DeptCode],Table41015[Manager],"Not assigned",0)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64"/>
  <sheetViews>
    <sheetView topLeftCell="K1" workbookViewId="0">
      <selection activeCell="M13" sqref="A1:XFD1048576"/>
    </sheetView>
  </sheetViews>
  <sheetFormatPr defaultRowHeight="15" customHeight="1" x14ac:dyDescent="0.3"/>
  <cols>
    <col min="1" max="1" width="13.5546875" style="4" customWidth="1"/>
    <col min="2" max="2" width="22.5546875" style="4" customWidth="1"/>
    <col min="3" max="3" width="17.44140625" style="4" customWidth="1"/>
    <col min="4" max="4" width="18" style="4" customWidth="1"/>
    <col min="5" max="5" width="21.5546875" style="4" customWidth="1"/>
    <col min="6" max="6" width="19.6640625" style="4" customWidth="1"/>
    <col min="7" max="7" width="21.6640625" style="8" customWidth="1"/>
    <col min="8" max="8" width="23.5546875" style="4" customWidth="1"/>
    <col min="9" max="9" width="19.5546875" style="4" customWidth="1"/>
    <col min="10" max="10" width="55.44140625" customWidth="1"/>
    <col min="11" max="11" width="57.21875" customWidth="1"/>
    <col min="12" max="12" width="36.5546875" bestFit="1" customWidth="1"/>
    <col min="13" max="13" width="51.33203125" customWidth="1"/>
    <col min="14" max="14" width="21.6640625" bestFit="1" customWidth="1"/>
    <col min="15" max="15" width="42" customWidth="1"/>
    <col min="17" max="17" width="14.6640625" bestFit="1" customWidth="1"/>
    <col min="20" max="20" width="36.5546875" bestFit="1" customWidth="1"/>
  </cols>
  <sheetData>
    <row r="2" spans="1:15" ht="80.400000000000006" customHeight="1" x14ac:dyDescent="0.3">
      <c r="J2" s="11" t="s">
        <v>0</v>
      </c>
      <c r="K2" s="11" t="s">
        <v>152</v>
      </c>
      <c r="L2" s="10" t="s">
        <v>1</v>
      </c>
      <c r="M2" s="10" t="s">
        <v>2</v>
      </c>
      <c r="N2" s="10" t="s">
        <v>3</v>
      </c>
      <c r="O2" s="10" t="s">
        <v>4</v>
      </c>
    </row>
    <row r="3" spans="1:15" ht="15" customHeight="1" x14ac:dyDescent="0.3">
      <c r="J3" s="4"/>
      <c r="L3" s="4" t="s">
        <v>5</v>
      </c>
      <c r="M3" s="4" t="s">
        <v>6</v>
      </c>
      <c r="N3" s="4" t="s">
        <v>7</v>
      </c>
      <c r="O3" s="4" t="s">
        <v>8</v>
      </c>
    </row>
    <row r="4" spans="1:15" ht="15" customHeight="1" x14ac:dyDescent="0.3">
      <c r="L4" s="4" t="s">
        <v>9</v>
      </c>
      <c r="M4" s="4" t="s">
        <v>10</v>
      </c>
      <c r="N4" s="4" t="s">
        <v>11</v>
      </c>
      <c r="O4" s="4" t="s">
        <v>12</v>
      </c>
    </row>
    <row r="5" spans="1:15" ht="15" customHeight="1" x14ac:dyDescent="0.3">
      <c r="L5" s="4" t="s">
        <v>13</v>
      </c>
      <c r="M5" s="4" t="s">
        <v>14</v>
      </c>
      <c r="N5" s="4" t="s">
        <v>15</v>
      </c>
      <c r="O5" s="4" t="s">
        <v>16</v>
      </c>
    </row>
    <row r="6" spans="1:15" ht="14.4" customHeight="1" x14ac:dyDescent="0.3">
      <c r="A6" s="1" t="s">
        <v>17</v>
      </c>
      <c r="B6" s="1" t="s">
        <v>18</v>
      </c>
      <c r="C6" s="1" t="s">
        <v>19</v>
      </c>
      <c r="D6" s="1" t="s">
        <v>1</v>
      </c>
      <c r="E6" s="1" t="s">
        <v>20</v>
      </c>
      <c r="F6" s="1" t="s">
        <v>21</v>
      </c>
      <c r="G6" s="7" t="s">
        <v>22</v>
      </c>
      <c r="H6" s="1" t="s">
        <v>23</v>
      </c>
      <c r="I6" s="1" t="s">
        <v>24</v>
      </c>
      <c r="J6" s="9" t="s">
        <v>25</v>
      </c>
      <c r="K6" s="9" t="s">
        <v>3</v>
      </c>
      <c r="L6" s="4" t="s">
        <v>26</v>
      </c>
      <c r="M6" s="4" t="s">
        <v>27</v>
      </c>
      <c r="N6" s="4" t="s">
        <v>28</v>
      </c>
      <c r="O6" s="4" t="s">
        <v>29</v>
      </c>
    </row>
    <row r="7" spans="1:15" ht="14.4" customHeight="1" x14ac:dyDescent="0.3">
      <c r="A7" s="4" t="s">
        <v>30</v>
      </c>
      <c r="B7" s="4" t="s">
        <v>31</v>
      </c>
      <c r="C7" s="4" t="s">
        <v>32</v>
      </c>
      <c r="D7" s="4" t="s">
        <v>5</v>
      </c>
      <c r="E7" s="4" t="s">
        <v>33</v>
      </c>
      <c r="F7" s="4" t="s">
        <v>34</v>
      </c>
      <c r="G7" s="8">
        <v>45890.395833333336</v>
      </c>
      <c r="H7" s="4">
        <v>52000</v>
      </c>
      <c r="I7" s="4">
        <v>85</v>
      </c>
      <c r="J7" t="str">
        <f>VLOOKUP(D7,Table4[[DeptCode]:[DeptName]],2,FALSE)</f>
        <v>Sales</v>
      </c>
      <c r="K7" s="4" t="str">
        <f>_xlfn.XLOOKUP(D7,Table4[DeptCode],Table4[Manager],"Not assigned",0)</f>
        <v>Anita Verma</v>
      </c>
      <c r="L7" s="20"/>
      <c r="M7" s="20"/>
    </row>
    <row r="8" spans="1:15" ht="14.4" x14ac:dyDescent="0.3">
      <c r="A8" s="4" t="s">
        <v>35</v>
      </c>
      <c r="B8" s="4" t="s">
        <v>36</v>
      </c>
      <c r="C8" s="4" t="s">
        <v>37</v>
      </c>
      <c r="D8" s="4" t="s">
        <v>9</v>
      </c>
      <c r="E8" s="4" t="s">
        <v>38</v>
      </c>
      <c r="F8" s="4" t="s">
        <v>39</v>
      </c>
      <c r="G8" s="8">
        <v>45891</v>
      </c>
      <c r="H8" s="4">
        <v>48000</v>
      </c>
      <c r="I8" s="4">
        <v>90</v>
      </c>
      <c r="J8" t="str">
        <f>VLOOKUP(D8,Table4[[DeptCode]:[DeptName]],2,FALSE)</f>
        <v>Human Resources</v>
      </c>
      <c r="K8" s="4" t="str">
        <f>_xlfn.XLOOKUP(D8,Table4[DeptCode],Table4[Manager],"Not assigned",0)</f>
        <v>Vijay Rao</v>
      </c>
    </row>
    <row r="9" spans="1:15" ht="14.4" x14ac:dyDescent="0.3">
      <c r="A9" s="4" t="s">
        <v>40</v>
      </c>
      <c r="B9" s="4" t="s">
        <v>41</v>
      </c>
      <c r="C9" s="4" t="s">
        <v>42</v>
      </c>
      <c r="D9" s="4" t="s">
        <v>13</v>
      </c>
      <c r="E9" s="4" t="s">
        <v>43</v>
      </c>
      <c r="F9" s="4" t="s">
        <v>44</v>
      </c>
      <c r="G9" s="8">
        <v>45892</v>
      </c>
      <c r="H9" s="4">
        <v>60000</v>
      </c>
      <c r="I9" s="4">
        <v>78</v>
      </c>
      <c r="J9" t="str">
        <f>VLOOKUP(D9,Table4[[DeptCode]:[DeptName]],2,FALSE)</f>
        <v>Information Technology</v>
      </c>
      <c r="K9" s="4" t="str">
        <f>_xlfn.XLOOKUP(D9,Table4[DeptCode],Table4[Manager],"Not assigned",0)</f>
        <v>Meera Iyer</v>
      </c>
    </row>
    <row r="10" spans="1:15" ht="14.4" x14ac:dyDescent="0.3">
      <c r="A10" s="4" t="s">
        <v>45</v>
      </c>
      <c r="B10" s="4" t="s">
        <v>31</v>
      </c>
      <c r="C10" s="4" t="s">
        <v>46</v>
      </c>
      <c r="D10" s="4" t="s">
        <v>5</v>
      </c>
      <c r="E10" s="4" t="s">
        <v>47</v>
      </c>
      <c r="F10" s="4" t="s">
        <v>48</v>
      </c>
      <c r="G10" s="8">
        <v>45893</v>
      </c>
      <c r="H10" s="4">
        <v>55000</v>
      </c>
      <c r="I10" s="4">
        <v>88</v>
      </c>
      <c r="J10" t="str">
        <f>VLOOKUP(D10,Table4[[DeptCode]:[DeptName]],2,FALSE)</f>
        <v>Sales</v>
      </c>
      <c r="K10" s="4" t="str">
        <f>_xlfn.XLOOKUP(D10,Table4[DeptCode],Table4[Manager],"Not assigned",0)</f>
        <v>Anita Verma</v>
      </c>
    </row>
    <row r="11" spans="1:15" ht="14.4" x14ac:dyDescent="0.3">
      <c r="A11" s="4" t="s">
        <v>49</v>
      </c>
      <c r="B11" s="4" t="s">
        <v>50</v>
      </c>
      <c r="C11" s="4" t="s">
        <v>51</v>
      </c>
      <c r="D11" s="4" t="s">
        <v>26</v>
      </c>
      <c r="E11" s="4" t="s">
        <v>52</v>
      </c>
      <c r="F11" s="4" t="s">
        <v>53</v>
      </c>
      <c r="G11" s="8">
        <v>45894</v>
      </c>
      <c r="H11" s="4">
        <v>75000</v>
      </c>
      <c r="I11" s="4">
        <v>92</v>
      </c>
      <c r="J11" t="str">
        <f>VLOOKUP(D11,Table4[[DeptCode]:[DeptName]],2,FALSE)</f>
        <v>Finance</v>
      </c>
      <c r="K11" s="4" t="str">
        <f>_xlfn.XLOOKUP(D11,Table4[DeptCode],Table4[Manager],"Not assigned",0)</f>
        <v>Arun Sharma</v>
      </c>
    </row>
    <row r="12" spans="1:15" ht="14.4" x14ac:dyDescent="0.3">
      <c r="A12" s="4" t="s">
        <v>54</v>
      </c>
      <c r="B12" s="4" t="s">
        <v>55</v>
      </c>
      <c r="C12" s="4" t="s">
        <v>56</v>
      </c>
      <c r="D12" s="4" t="s">
        <v>13</v>
      </c>
      <c r="E12" s="4" t="s">
        <v>57</v>
      </c>
      <c r="F12" s="4" t="s">
        <v>58</v>
      </c>
      <c r="G12" s="8">
        <v>45895</v>
      </c>
      <c r="H12" s="4">
        <v>62000</v>
      </c>
      <c r="I12" s="4">
        <v>81</v>
      </c>
      <c r="J12" t="str">
        <f>VLOOKUP(D12,Table4[[DeptCode]:[DeptName]],2,FALSE)</f>
        <v>Information Technology</v>
      </c>
      <c r="K12" s="4" t="str">
        <f>_xlfn.XLOOKUP(D12,Table4[DeptCode],Table4[Manager],"Not assigned",0)</f>
        <v>Meera Iyer</v>
      </c>
    </row>
    <row r="13" spans="1:15" ht="14.4" x14ac:dyDescent="0.3">
      <c r="A13" s="4" t="s">
        <v>59</v>
      </c>
      <c r="B13" s="4" t="s">
        <v>60</v>
      </c>
      <c r="C13" s="4" t="s">
        <v>61</v>
      </c>
      <c r="D13" s="4" t="s">
        <v>5</v>
      </c>
      <c r="E13" s="4" t="s">
        <v>62</v>
      </c>
      <c r="F13" s="4" t="s">
        <v>63</v>
      </c>
      <c r="G13" s="8">
        <v>45896</v>
      </c>
      <c r="H13" s="4">
        <v>58000</v>
      </c>
      <c r="I13" s="4">
        <v>86</v>
      </c>
      <c r="J13" t="str">
        <f>VLOOKUP(D13,Table4[[DeptCode]:[DeptName]],2,FALSE)</f>
        <v>Sales</v>
      </c>
      <c r="K13" s="4" t="str">
        <f>_xlfn.XLOOKUP(D13,Table4[DeptCode],Table4[Manager],"Not assigned",0)</f>
        <v>Anita Verma</v>
      </c>
      <c r="N13" s="3"/>
    </row>
    <row r="14" spans="1:15" ht="14.4" x14ac:dyDescent="0.3">
      <c r="A14" s="4" t="s">
        <v>64</v>
      </c>
      <c r="B14" s="4" t="s">
        <v>36</v>
      </c>
      <c r="C14" s="4" t="s">
        <v>65</v>
      </c>
      <c r="D14" s="4" t="s">
        <v>9</v>
      </c>
      <c r="E14" s="4" t="s">
        <v>66</v>
      </c>
      <c r="F14" s="4" t="s">
        <v>67</v>
      </c>
      <c r="G14" s="8">
        <v>45897</v>
      </c>
      <c r="H14" s="4">
        <v>50000</v>
      </c>
      <c r="I14" s="4">
        <v>79</v>
      </c>
      <c r="J14" t="str">
        <f>VLOOKUP(D14,Table4[[DeptCode]:[DeptName]],2,FALSE)</f>
        <v>Human Resources</v>
      </c>
      <c r="K14" s="4" t="str">
        <f>_xlfn.XLOOKUP(D14,Table4[DeptCode],Table4[Manager],"Not assigned",0)</f>
        <v>Vijay Rao</v>
      </c>
    </row>
    <row r="15" spans="1:15" ht="14.4" x14ac:dyDescent="0.3">
      <c r="A15" s="4" t="s">
        <v>68</v>
      </c>
      <c r="B15" s="4" t="s">
        <v>50</v>
      </c>
      <c r="C15" s="4" t="s">
        <v>69</v>
      </c>
      <c r="D15" s="4" t="s">
        <v>26</v>
      </c>
      <c r="E15" s="4" t="s">
        <v>70</v>
      </c>
      <c r="F15" s="4" t="s">
        <v>71</v>
      </c>
      <c r="G15" s="8">
        <v>45898</v>
      </c>
      <c r="H15" s="4">
        <v>72000</v>
      </c>
      <c r="I15" s="4">
        <v>95</v>
      </c>
      <c r="J15" t="str">
        <f>VLOOKUP(D15,Table4[[DeptCode]:[DeptName]],2,FALSE)</f>
        <v>Finance</v>
      </c>
      <c r="K15" s="4" t="str">
        <f>_xlfn.XLOOKUP(D15,Table4[DeptCode],Table4[Manager],"Not assigned",0)</f>
        <v>Arun Sharma</v>
      </c>
    </row>
    <row r="16" spans="1:15" ht="14.4" x14ac:dyDescent="0.3">
      <c r="A16" s="4" t="s">
        <v>72</v>
      </c>
      <c r="B16" s="4" t="s">
        <v>55</v>
      </c>
      <c r="C16" s="4" t="s">
        <v>73</v>
      </c>
      <c r="D16" s="4" t="s">
        <v>13</v>
      </c>
      <c r="E16" s="4" t="s">
        <v>74</v>
      </c>
      <c r="F16" s="4" t="s">
        <v>75</v>
      </c>
      <c r="G16" s="8">
        <v>45899</v>
      </c>
      <c r="H16" s="4">
        <v>61000</v>
      </c>
      <c r="I16" s="4">
        <v>82</v>
      </c>
      <c r="J16" t="str">
        <f>VLOOKUP(D16,Table4[[DeptCode]:[DeptName]],2,FALSE)</f>
        <v>Information Technology</v>
      </c>
      <c r="K16" s="4" t="str">
        <f>_xlfn.XLOOKUP(D16,Table4[DeptCode],Table4[Manager],"Not assigned",0)</f>
        <v>Meera Iyer</v>
      </c>
    </row>
    <row r="17" spans="1:16" ht="14.4" x14ac:dyDescent="0.3">
      <c r="A17" s="4" t="s">
        <v>76</v>
      </c>
      <c r="B17" s="4" t="s">
        <v>31</v>
      </c>
      <c r="C17" s="4" t="s">
        <v>77</v>
      </c>
      <c r="D17" s="4" t="s">
        <v>5</v>
      </c>
      <c r="E17" s="4" t="s">
        <v>78</v>
      </c>
      <c r="F17" s="4" t="s">
        <v>79</v>
      </c>
      <c r="G17" s="8">
        <v>45900</v>
      </c>
      <c r="H17" s="4">
        <v>53000</v>
      </c>
      <c r="I17" s="4">
        <v>88</v>
      </c>
      <c r="J17" t="str">
        <f>VLOOKUP(D17,Table4[[DeptCode]:[DeptName]],2,FALSE)</f>
        <v>Sales</v>
      </c>
      <c r="K17" s="4" t="str">
        <f>_xlfn.XLOOKUP(D17,Table4[DeptCode],Table4[Manager],"Not assigned",0)</f>
        <v>Anita Verma</v>
      </c>
    </row>
    <row r="18" spans="1:16" ht="14.4" x14ac:dyDescent="0.3">
      <c r="A18" s="4" t="s">
        <v>80</v>
      </c>
      <c r="B18" s="4" t="s">
        <v>36</v>
      </c>
      <c r="C18" s="4" t="s">
        <v>81</v>
      </c>
      <c r="D18" s="4" t="s">
        <v>9</v>
      </c>
      <c r="E18" s="4" t="s">
        <v>82</v>
      </c>
      <c r="F18" s="4" t="s">
        <v>83</v>
      </c>
      <c r="G18" s="8">
        <v>45901</v>
      </c>
      <c r="H18" s="4">
        <v>47000</v>
      </c>
      <c r="I18" s="4">
        <v>77</v>
      </c>
      <c r="J18" t="str">
        <f>VLOOKUP(D18,Table4[[DeptCode]:[DeptName]],2,FALSE)</f>
        <v>Human Resources</v>
      </c>
      <c r="K18" s="4" t="str">
        <f>_xlfn.XLOOKUP(D18,Table4[DeptCode],Table4[Manager],"Not assigned",0)</f>
        <v>Vijay Rao</v>
      </c>
    </row>
    <row r="19" spans="1:16" ht="14.4" x14ac:dyDescent="0.3">
      <c r="A19" s="4" t="s">
        <v>84</v>
      </c>
      <c r="B19" s="4" t="s">
        <v>50</v>
      </c>
      <c r="C19" s="4" t="s">
        <v>85</v>
      </c>
      <c r="D19" s="4" t="s">
        <v>26</v>
      </c>
      <c r="E19" s="4" t="s">
        <v>86</v>
      </c>
      <c r="F19" s="4" t="s">
        <v>87</v>
      </c>
      <c r="G19" s="8">
        <v>45902</v>
      </c>
      <c r="H19" s="4">
        <v>78000</v>
      </c>
      <c r="I19" s="4">
        <v>91</v>
      </c>
      <c r="J19" t="str">
        <f>VLOOKUP(D19,Table4[[DeptCode]:[DeptName]],2,FALSE)</f>
        <v>Finance</v>
      </c>
      <c r="K19" s="4" t="str">
        <f>_xlfn.XLOOKUP(D19,Table4[DeptCode],Table4[Manager],"Not assigned",0)</f>
        <v>Arun Sharma</v>
      </c>
    </row>
    <row r="20" spans="1:16" ht="14.4" x14ac:dyDescent="0.3">
      <c r="A20" s="4" t="s">
        <v>88</v>
      </c>
      <c r="B20" s="4" t="s">
        <v>41</v>
      </c>
      <c r="C20" s="4" t="s">
        <v>89</v>
      </c>
      <c r="D20" s="4" t="s">
        <v>13</v>
      </c>
      <c r="E20" s="4" t="s">
        <v>90</v>
      </c>
      <c r="F20" s="4" t="s">
        <v>91</v>
      </c>
      <c r="G20" s="8">
        <v>45903</v>
      </c>
      <c r="H20" s="4">
        <v>61000</v>
      </c>
      <c r="I20" s="4">
        <v>84</v>
      </c>
      <c r="J20" t="str">
        <f>VLOOKUP(D20,Table4[[DeptCode]:[DeptName]],2,FALSE)</f>
        <v>Information Technology</v>
      </c>
      <c r="K20" s="4" t="str">
        <f>_xlfn.XLOOKUP(D20,Table4[DeptCode],Table4[Manager],"Not assigned",0)</f>
        <v>Meera Iyer</v>
      </c>
      <c r="L20" s="4" t="s">
        <v>92</v>
      </c>
      <c r="M20" s="4" t="s">
        <v>93</v>
      </c>
      <c r="N20" s="4" t="s">
        <v>94</v>
      </c>
      <c r="O20" s="4" t="s">
        <v>95</v>
      </c>
      <c r="P20" s="4" t="s">
        <v>96</v>
      </c>
    </row>
    <row r="21" spans="1:16" ht="14.4" x14ac:dyDescent="0.3">
      <c r="A21" s="4" t="s">
        <v>97</v>
      </c>
      <c r="B21" s="4" t="s">
        <v>60</v>
      </c>
      <c r="C21" s="4" t="s">
        <v>98</v>
      </c>
      <c r="D21" s="4" t="s">
        <v>5</v>
      </c>
      <c r="E21" s="4" t="s">
        <v>99</v>
      </c>
      <c r="F21" s="4" t="s">
        <v>100</v>
      </c>
      <c r="G21" s="8">
        <v>45904</v>
      </c>
      <c r="H21" s="4">
        <v>54000</v>
      </c>
      <c r="I21" s="4">
        <v>87</v>
      </c>
      <c r="J21" t="str">
        <f>VLOOKUP(D21,Table4[[DeptCode]:[DeptName]],2,FALSE)</f>
        <v>Sales</v>
      </c>
      <c r="K21" s="4" t="str">
        <f>_xlfn.XLOOKUP(D21,Table4[DeptCode],Table4[Manager],"Not assigned",0)</f>
        <v>Anita Verma</v>
      </c>
      <c r="L21" s="4" t="s">
        <v>101</v>
      </c>
      <c r="M21" s="4">
        <v>0.12</v>
      </c>
      <c r="N21" s="4">
        <v>0.08</v>
      </c>
      <c r="O21" s="4">
        <v>0.05</v>
      </c>
      <c r="P21" s="4">
        <v>0.02</v>
      </c>
    </row>
    <row r="22" spans="1:16" ht="14.4" x14ac:dyDescent="0.3">
      <c r="A22" s="4" t="s">
        <v>102</v>
      </c>
      <c r="B22" s="4" t="s">
        <v>50</v>
      </c>
      <c r="C22" s="4" t="s">
        <v>103</v>
      </c>
      <c r="D22" s="4" t="s">
        <v>26</v>
      </c>
      <c r="E22" s="4" t="s">
        <v>104</v>
      </c>
      <c r="F22" s="4" t="s">
        <v>105</v>
      </c>
      <c r="G22" s="8">
        <v>45905</v>
      </c>
      <c r="H22" s="4">
        <v>71000</v>
      </c>
      <c r="I22" s="4">
        <v>89</v>
      </c>
      <c r="J22" t="str">
        <f>VLOOKUP(D22,Table4[[DeptCode]:[DeptName]],2,FALSE)</f>
        <v>Finance</v>
      </c>
      <c r="K22" s="4" t="str">
        <f>_xlfn.XLOOKUP(D22,Table4[DeptCode],Table4[Manager],"Not assigned",0)</f>
        <v>Arun Sharma</v>
      </c>
    </row>
    <row r="23" spans="1:16" ht="14.4" x14ac:dyDescent="0.3">
      <c r="A23" s="4" t="s">
        <v>106</v>
      </c>
      <c r="B23" s="4" t="s">
        <v>36</v>
      </c>
      <c r="C23" s="4" t="s">
        <v>107</v>
      </c>
      <c r="D23" s="4" t="s">
        <v>9</v>
      </c>
      <c r="E23" s="4" t="s">
        <v>108</v>
      </c>
      <c r="F23" s="4" t="s">
        <v>109</v>
      </c>
      <c r="G23" s="8">
        <v>45906</v>
      </c>
      <c r="H23" s="4">
        <v>49000</v>
      </c>
      <c r="I23" s="4">
        <v>80</v>
      </c>
      <c r="J23" t="str">
        <f>VLOOKUP(D23,Table4[[DeptCode]:[DeptName]],2,FALSE)</f>
        <v>Human Resources</v>
      </c>
      <c r="K23" s="4" t="str">
        <f>_xlfn.XLOOKUP(D23,Table4[DeptCode],Table4[Manager],"Not assigned",0)</f>
        <v>Vijay Rao</v>
      </c>
    </row>
    <row r="24" spans="1:16" ht="14.4" customHeight="1" x14ac:dyDescent="0.3">
      <c r="A24" s="4" t="s">
        <v>110</v>
      </c>
      <c r="B24" s="4" t="s">
        <v>55</v>
      </c>
      <c r="C24" s="4" t="s">
        <v>111</v>
      </c>
      <c r="D24" s="4" t="s">
        <v>13</v>
      </c>
      <c r="E24" s="4" t="s">
        <v>112</v>
      </c>
      <c r="F24" s="4" t="s">
        <v>113</v>
      </c>
      <c r="G24" s="8">
        <v>45907</v>
      </c>
      <c r="H24" s="4">
        <v>64000</v>
      </c>
      <c r="I24" s="4">
        <v>93</v>
      </c>
      <c r="J24" t="str">
        <f>VLOOKUP(D24,Table4[[DeptCode]:[DeptName]],2,FALSE)</f>
        <v>Information Technology</v>
      </c>
      <c r="K24" s="4" t="str">
        <f>_xlfn.XLOOKUP(D24,Table4[DeptCode],Table4[Manager],"Not assigned",0)</f>
        <v>Meera Iyer</v>
      </c>
      <c r="L24" s="23" t="s">
        <v>114</v>
      </c>
      <c r="M24" s="23"/>
      <c r="N24" s="23"/>
    </row>
    <row r="25" spans="1:16" ht="33.6" customHeight="1" x14ac:dyDescent="0.3">
      <c r="A25" s="4" t="s">
        <v>115</v>
      </c>
      <c r="B25" s="4" t="s">
        <v>31</v>
      </c>
      <c r="C25" s="4" t="s">
        <v>116</v>
      </c>
      <c r="D25" s="4" t="s">
        <v>5</v>
      </c>
      <c r="E25" s="4" t="s">
        <v>117</v>
      </c>
      <c r="F25" s="4" t="s">
        <v>118</v>
      </c>
      <c r="G25" s="8">
        <v>45908</v>
      </c>
      <c r="H25" s="4">
        <v>56000</v>
      </c>
      <c r="I25" s="4">
        <v>84</v>
      </c>
      <c r="J25" t="str">
        <f>VLOOKUP(D25,Table4[[DeptCode]:[DeptName]],2,FALSE)</f>
        <v>Sales</v>
      </c>
      <c r="K25" s="4" t="str">
        <f>_xlfn.XLOOKUP(D25,Table4[DeptCode],Table4[Manager],"Not assigned",0)</f>
        <v>Anita Verma</v>
      </c>
      <c r="L25" s="23"/>
      <c r="M25" s="23"/>
      <c r="N25" s="23"/>
    </row>
    <row r="26" spans="1:16" ht="14.4" customHeight="1" x14ac:dyDescent="0.3">
      <c r="A26" s="4" t="s">
        <v>119</v>
      </c>
      <c r="B26" s="4" t="s">
        <v>50</v>
      </c>
      <c r="C26" s="4" t="s">
        <v>120</v>
      </c>
      <c r="D26" s="4" t="s">
        <v>26</v>
      </c>
      <c r="E26" s="4" t="s">
        <v>121</v>
      </c>
      <c r="F26" s="4" t="s">
        <v>122</v>
      </c>
      <c r="G26" s="8">
        <v>45909</v>
      </c>
      <c r="H26" s="4">
        <v>73000</v>
      </c>
      <c r="I26" s="4">
        <v>90</v>
      </c>
      <c r="J26" t="str">
        <f>VLOOKUP(D26,Table4[[DeptCode]:[DeptName]],2,FALSE)</f>
        <v>Finance</v>
      </c>
      <c r="K26" s="4" t="str">
        <f>_xlfn.XLOOKUP(D26,Table4[DeptCode],Table4[Manager],"Not assigned",0)</f>
        <v>Arun Sharma</v>
      </c>
      <c r="L26" s="17"/>
      <c r="M26" s="17"/>
      <c r="N26" s="17"/>
    </row>
    <row r="27" spans="1:16" ht="14.4" x14ac:dyDescent="0.3"/>
    <row r="28" spans="1:16" ht="14.4" x14ac:dyDescent="0.3"/>
    <row r="29" spans="1:16" ht="14.4" x14ac:dyDescent="0.3">
      <c r="F29" s="7"/>
      <c r="G29" s="1"/>
      <c r="H29" s="1"/>
      <c r="L29" s="1" t="s">
        <v>123</v>
      </c>
      <c r="M29" s="1" t="s">
        <v>124</v>
      </c>
      <c r="N29" s="9" t="s">
        <v>125</v>
      </c>
    </row>
    <row r="30" spans="1:16" ht="14.4" x14ac:dyDescent="0.3">
      <c r="F30" s="8"/>
      <c r="G30" s="4"/>
      <c r="L30" s="4">
        <v>0</v>
      </c>
      <c r="M30" s="4" t="s">
        <v>96</v>
      </c>
      <c r="N30">
        <f>HLOOKUP(Table1[[#This Row],[Grade]],Table2[[#All],[A]:[D]],2,FALSE)</f>
        <v>0.02</v>
      </c>
    </row>
    <row r="31" spans="1:16" ht="14.4" x14ac:dyDescent="0.3">
      <c r="F31" s="8"/>
      <c r="G31" s="4"/>
      <c r="L31" s="4">
        <v>75</v>
      </c>
      <c r="M31" s="4" t="s">
        <v>95</v>
      </c>
      <c r="N31">
        <f>HLOOKUP(Table1[[#This Row],[Grade]],Table2[[#All],[A]:[D]],2,FALSE)</f>
        <v>0.05</v>
      </c>
    </row>
    <row r="32" spans="1:16" ht="23.4" x14ac:dyDescent="0.45">
      <c r="C32" s="22" t="s">
        <v>126</v>
      </c>
      <c r="D32" s="22"/>
      <c r="E32" s="22"/>
      <c r="F32" s="8"/>
      <c r="G32" s="4"/>
      <c r="L32" s="4">
        <v>85</v>
      </c>
      <c r="M32" s="4" t="s">
        <v>94</v>
      </c>
      <c r="N32">
        <f>HLOOKUP(Table1[[#This Row],[Grade]],Table2[[#All],[A]:[D]],2,FALSE)</f>
        <v>0.08</v>
      </c>
    </row>
    <row r="33" spans="3:20" ht="14.4" x14ac:dyDescent="0.3">
      <c r="F33" s="8"/>
      <c r="G33" s="4"/>
      <c r="L33" s="4">
        <v>92</v>
      </c>
      <c r="M33" s="4" t="s">
        <v>93</v>
      </c>
      <c r="N33">
        <f>HLOOKUP(Table1[[#This Row],[Grade]],Table2[[#All],[A]:[D]],2,FALSE)</f>
        <v>0.12</v>
      </c>
    </row>
    <row r="34" spans="3:20" ht="14.4" x14ac:dyDescent="0.3">
      <c r="C34" s="6" t="s">
        <v>127</v>
      </c>
      <c r="D34" s="2"/>
      <c r="E34" s="2">
        <f ca="1">TODAY()</f>
        <v>45972</v>
      </c>
      <c r="F34" s="8"/>
      <c r="G34" s="4"/>
    </row>
    <row r="35" spans="3:20" ht="14.4" x14ac:dyDescent="0.3">
      <c r="C35" s="6"/>
      <c r="D35"/>
      <c r="E35" s="19">
        <f ca="1">NOW()</f>
        <v>45972.803372337963</v>
      </c>
      <c r="F35" s="8"/>
      <c r="G35" s="4"/>
    </row>
    <row r="36" spans="3:20" ht="14.4" x14ac:dyDescent="0.3">
      <c r="C36" s="6" t="s">
        <v>128</v>
      </c>
      <c r="D36" s="3"/>
      <c r="E36"/>
    </row>
    <row r="37" spans="3:20" ht="162" customHeight="1" x14ac:dyDescent="0.3">
      <c r="C37" s="6" t="s">
        <v>129</v>
      </c>
      <c r="D37"/>
      <c r="E37">
        <f ca="1">YEAR(E34)</f>
        <v>2025</v>
      </c>
      <c r="L37" s="24" t="s">
        <v>130</v>
      </c>
      <c r="M37" s="25"/>
      <c r="N37" s="25"/>
      <c r="O37" s="12" t="s">
        <v>131</v>
      </c>
    </row>
    <row r="38" spans="3:20" ht="15" customHeight="1" x14ac:dyDescent="0.3">
      <c r="C38" s="6" t="s">
        <v>132</v>
      </c>
      <c r="D38"/>
      <c r="E38">
        <f ca="1">MONTH(E34)</f>
        <v>11</v>
      </c>
      <c r="L38" s="17"/>
      <c r="M38" s="17"/>
      <c r="N38" s="17"/>
      <c r="O38" s="5"/>
    </row>
    <row r="39" spans="3:20" ht="15" customHeight="1" x14ac:dyDescent="0.3">
      <c r="C39" s="6" t="s">
        <v>133</v>
      </c>
      <c r="D39"/>
      <c r="E39">
        <f ca="1">DAY(E34)</f>
        <v>11</v>
      </c>
      <c r="O39" s="5"/>
    </row>
    <row r="40" spans="3:20" ht="15" customHeight="1" x14ac:dyDescent="0.3">
      <c r="C40" s="6" t="s">
        <v>134</v>
      </c>
      <c r="D40"/>
      <c r="E40" s="4">
        <f ca="1">WEEKDAY(E34)</f>
        <v>3</v>
      </c>
      <c r="F40" s="26" t="s">
        <v>135</v>
      </c>
      <c r="G40" s="26"/>
      <c r="O40" s="5"/>
      <c r="T40" s="5"/>
    </row>
    <row r="41" spans="3:20" ht="15" customHeight="1" x14ac:dyDescent="0.3">
      <c r="C41" s="6" t="s">
        <v>136</v>
      </c>
      <c r="D41" s="5"/>
      <c r="E41" t="str">
        <f ca="1">CHOOSE(WEEKDAY(E34),"mon","tue","wed","thur","fri","sat","sun")</f>
        <v>wed</v>
      </c>
      <c r="L41" s="7" t="s">
        <v>18</v>
      </c>
      <c r="M41" s="1" t="s">
        <v>137</v>
      </c>
      <c r="N41" s="1" t="s">
        <v>138</v>
      </c>
      <c r="Q41" s="5"/>
    </row>
    <row r="42" spans="3:20" ht="15" customHeight="1" x14ac:dyDescent="0.3">
      <c r="C42" s="6" t="s">
        <v>139</v>
      </c>
      <c r="D42"/>
      <c r="E42">
        <f ca="1">DATEDIF(E8,TODAY(),"Y")</f>
        <v>7</v>
      </c>
      <c r="J42" t="str">
        <f>INDEX(A7:C10,2,3)</f>
        <v>Anna Lee</v>
      </c>
      <c r="L42" s="8" t="s">
        <v>31</v>
      </c>
      <c r="M42" s="4" t="s">
        <v>140</v>
      </c>
      <c r="N42" s="4">
        <v>1200</v>
      </c>
    </row>
    <row r="43" spans="3:20" ht="15" customHeight="1" x14ac:dyDescent="0.3">
      <c r="C43" s="6" t="s">
        <v>141</v>
      </c>
      <c r="D43"/>
      <c r="E43">
        <f ca="1">DATEDIF(E8,TODAY(),"yM")</f>
        <v>7</v>
      </c>
      <c r="L43" s="8" t="s">
        <v>36</v>
      </c>
      <c r="M43" s="4" t="s">
        <v>142</v>
      </c>
      <c r="N43" s="4">
        <v>900</v>
      </c>
    </row>
    <row r="44" spans="3:20" ht="15" customHeight="1" x14ac:dyDescent="0.3">
      <c r="C44" s="6" t="s">
        <v>143</v>
      </c>
      <c r="D44"/>
      <c r="E44">
        <f ca="1">DATEDIF(F2,TODAY(),"Y")</f>
        <v>125</v>
      </c>
      <c r="L44" s="8" t="s">
        <v>41</v>
      </c>
      <c r="M44" s="4" t="s">
        <v>144</v>
      </c>
      <c r="N44" s="4">
        <v>1500</v>
      </c>
    </row>
    <row r="45" spans="3:20" ht="15" customHeight="1" x14ac:dyDescent="0.3">
      <c r="C45"/>
      <c r="D45"/>
      <c r="E45"/>
      <c r="L45" s="8" t="s">
        <v>50</v>
      </c>
      <c r="M45" s="4" t="s">
        <v>145</v>
      </c>
      <c r="N45" s="4">
        <v>2000</v>
      </c>
    </row>
    <row r="46" spans="3:20" ht="15" customHeight="1" x14ac:dyDescent="0.3">
      <c r="L46" s="8" t="s">
        <v>55</v>
      </c>
      <c r="M46" s="4" t="s">
        <v>146</v>
      </c>
      <c r="N46" s="4">
        <v>1100</v>
      </c>
    </row>
    <row r="47" spans="3:20" ht="25.2" customHeight="1" x14ac:dyDescent="0.3">
      <c r="L47" s="8" t="s">
        <v>60</v>
      </c>
      <c r="M47" s="4" t="s">
        <v>147</v>
      </c>
      <c r="N47" s="4">
        <v>800</v>
      </c>
    </row>
    <row r="48" spans="3:20" ht="40.950000000000003" customHeight="1" x14ac:dyDescent="0.3"/>
    <row r="49" spans="3:16" ht="15" customHeight="1" x14ac:dyDescent="0.3">
      <c r="M49" s="6" t="s">
        <v>148</v>
      </c>
      <c r="N49">
        <f>MATCH("P100",Table3[SKU],0)</f>
        <v>1</v>
      </c>
    </row>
    <row r="50" spans="3:16" ht="39.75" customHeight="1" x14ac:dyDescent="0.3">
      <c r="L50" s="13"/>
      <c r="M50" s="16" t="s">
        <v>149</v>
      </c>
      <c r="N50" s="13">
        <f>INDEX(Table3[[SKU]:[UnitPrice]],4,3)</f>
        <v>2000</v>
      </c>
      <c r="O50" s="13"/>
    </row>
    <row r="51" spans="3:16" ht="15" customHeight="1" x14ac:dyDescent="0.3">
      <c r="L51" s="14"/>
      <c r="M51" s="18" t="s">
        <v>150</v>
      </c>
      <c r="N51" s="15" t="str" cm="1">
        <f t="array" ref="N51:P51">INDEX(Table3[[SKU]:[UnitPrice]],MATCH("P103",Table3[SKU],0),0)</f>
        <v>P103</v>
      </c>
      <c r="O51" s="15" t="str">
        <v>Financial Suite</v>
      </c>
      <c r="P51">
        <v>2000</v>
      </c>
    </row>
    <row r="52" spans="3:16" ht="15" customHeight="1" x14ac:dyDescent="0.3">
      <c r="M52" s="18"/>
    </row>
    <row r="55" spans="3:16" ht="232.2" customHeight="1" x14ac:dyDescent="0.3">
      <c r="M55" s="5" t="s">
        <v>151</v>
      </c>
    </row>
    <row r="62" spans="3:16" ht="15" customHeight="1" x14ac:dyDescent="0.3">
      <c r="C62"/>
      <c r="D62"/>
      <c r="E62"/>
    </row>
    <row r="63" spans="3:16" ht="15" customHeight="1" x14ac:dyDescent="0.3">
      <c r="C63"/>
      <c r="D63"/>
      <c r="E63"/>
    </row>
    <row r="64" spans="3:16" ht="15" customHeight="1" x14ac:dyDescent="0.3">
      <c r="C64"/>
      <c r="D64"/>
      <c r="E64"/>
    </row>
  </sheetData>
  <mergeCells count="4">
    <mergeCell ref="C32:E32"/>
    <mergeCell ref="L24:N25"/>
    <mergeCell ref="L37:N37"/>
    <mergeCell ref="F40:G40"/>
  </mergeCells>
  <pageMargins left="0.7" right="0.7" top="0.75" bottom="0.75" header="0.3" footer="0.3"/>
  <pageSetup orientation="portrait" r:id="rId1"/>
  <tableParts count="5"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EC01A-C425-4373-9C86-7B86AF145DB4}">
  <dimension ref="A2:W64"/>
  <sheetViews>
    <sheetView tabSelected="1" topLeftCell="H1" workbookViewId="0">
      <selection activeCell="J3" sqref="J3"/>
    </sheetView>
  </sheetViews>
  <sheetFormatPr defaultRowHeight="14.4" x14ac:dyDescent="0.3"/>
  <cols>
    <col min="1" max="1" width="13.5546875" style="4" customWidth="1"/>
    <col min="2" max="2" width="22.5546875" style="4" customWidth="1"/>
    <col min="3" max="3" width="17.44140625" style="4" customWidth="1"/>
    <col min="4" max="4" width="18" style="4" customWidth="1"/>
    <col min="5" max="5" width="21.5546875" style="4" customWidth="1"/>
    <col min="6" max="6" width="19.6640625" style="4" customWidth="1"/>
    <col min="7" max="7" width="21.6640625" style="8" customWidth="1"/>
    <col min="8" max="8" width="23.5546875" style="4" customWidth="1"/>
    <col min="9" max="9" width="19.5546875" style="4" customWidth="1"/>
    <col min="10" max="10" width="55.44140625" customWidth="1"/>
    <col min="11" max="11" width="57.21875" customWidth="1"/>
    <col min="12" max="12" width="36.5546875" bestFit="1" customWidth="1"/>
    <col min="13" max="13" width="51.33203125" customWidth="1"/>
    <col min="14" max="14" width="21.6640625" bestFit="1" customWidth="1"/>
    <col min="15" max="15" width="42" customWidth="1"/>
    <col min="17" max="17" width="14.6640625" bestFit="1" customWidth="1"/>
    <col min="18" max="18" width="21.6640625" bestFit="1" customWidth="1"/>
    <col min="19" max="19" width="15.44140625" bestFit="1" customWidth="1"/>
    <col min="20" max="20" width="15.44140625" customWidth="1"/>
    <col min="21" max="21" width="36.5546875" bestFit="1" customWidth="1"/>
    <col min="22" max="22" width="18.21875" bestFit="1" customWidth="1"/>
    <col min="23" max="23" width="14.88671875" bestFit="1" customWidth="1"/>
  </cols>
  <sheetData>
    <row r="2" spans="1:23" ht="80.400000000000006" customHeight="1" x14ac:dyDescent="0.3">
      <c r="J2" s="11" t="s">
        <v>0</v>
      </c>
      <c r="K2" s="11" t="s">
        <v>152</v>
      </c>
      <c r="L2" s="10" t="s">
        <v>1</v>
      </c>
      <c r="M2" s="10" t="s">
        <v>2</v>
      </c>
      <c r="N2" s="10" t="s">
        <v>3</v>
      </c>
      <c r="O2" s="10" t="s">
        <v>4</v>
      </c>
    </row>
    <row r="3" spans="1:23" ht="15" customHeight="1" x14ac:dyDescent="0.3">
      <c r="J3" s="27" t="s">
        <v>164</v>
      </c>
      <c r="K3" s="27" t="e">
        <f>_xlfn.XLOOKUP($B$2,$B$2:$D$27,3,FALSE)</f>
        <v>#VALUE!</v>
      </c>
      <c r="L3" s="4" t="s">
        <v>5</v>
      </c>
      <c r="M3" s="4" t="s">
        <v>6</v>
      </c>
      <c r="N3" s="4" t="s">
        <v>7</v>
      </c>
      <c r="O3" s="4" t="s">
        <v>8</v>
      </c>
    </row>
    <row r="4" spans="1:23" ht="15" customHeight="1" x14ac:dyDescent="0.3">
      <c r="L4" s="4" t="s">
        <v>9</v>
      </c>
      <c r="M4" s="4" t="s">
        <v>10</v>
      </c>
      <c r="N4" s="4" t="s">
        <v>11</v>
      </c>
      <c r="O4" s="4" t="s">
        <v>12</v>
      </c>
    </row>
    <row r="5" spans="1:23" ht="15" customHeight="1" x14ac:dyDescent="0.3">
      <c r="L5" s="4" t="s">
        <v>13</v>
      </c>
      <c r="M5" s="4" t="s">
        <v>14</v>
      </c>
      <c r="N5" s="4" t="s">
        <v>15</v>
      </c>
      <c r="O5" s="4" t="s">
        <v>16</v>
      </c>
    </row>
    <row r="6" spans="1:23" ht="14.4" customHeight="1" x14ac:dyDescent="0.3">
      <c r="A6" s="1" t="s">
        <v>17</v>
      </c>
      <c r="B6" s="1" t="s">
        <v>18</v>
      </c>
      <c r="C6" s="1" t="s">
        <v>19</v>
      </c>
      <c r="D6" s="1" t="s">
        <v>1</v>
      </c>
      <c r="E6" s="1" t="s">
        <v>20</v>
      </c>
      <c r="F6" s="1" t="s">
        <v>21</v>
      </c>
      <c r="G6" s="7" t="s">
        <v>22</v>
      </c>
      <c r="H6" s="1" t="s">
        <v>23</v>
      </c>
      <c r="I6" s="1" t="s">
        <v>24</v>
      </c>
      <c r="J6" s="9" t="s">
        <v>25</v>
      </c>
      <c r="K6" s="9" t="s">
        <v>3</v>
      </c>
      <c r="L6" s="4" t="s">
        <v>26</v>
      </c>
      <c r="M6" s="4" t="s">
        <v>27</v>
      </c>
      <c r="N6" s="4" t="s">
        <v>28</v>
      </c>
      <c r="O6" s="4" t="s">
        <v>29</v>
      </c>
    </row>
    <row r="7" spans="1:23" ht="14.4" customHeight="1" x14ac:dyDescent="0.3">
      <c r="A7" s="4" t="s">
        <v>30</v>
      </c>
      <c r="B7" s="4" t="s">
        <v>31</v>
      </c>
      <c r="C7" s="4" t="s">
        <v>32</v>
      </c>
      <c r="D7" s="4" t="s">
        <v>5</v>
      </c>
      <c r="E7" s="8">
        <v>43595</v>
      </c>
      <c r="F7" s="4" t="s">
        <v>34</v>
      </c>
      <c r="G7" s="8">
        <v>45890.395833333336</v>
      </c>
      <c r="H7" s="4">
        <v>52000</v>
      </c>
      <c r="I7" s="4">
        <v>85</v>
      </c>
      <c r="J7" t="str">
        <f>VLOOKUP(D7,Table410[[DeptCode]:[DeptName]],2,FALSE)</f>
        <v>Sales</v>
      </c>
      <c r="K7" s="4" t="str">
        <f>_xlfn.XLOOKUP(D7,Table410[DeptCode],Table410[Manager],"Not assigned",0)</f>
        <v>Anita Verma</v>
      </c>
      <c r="L7" s="20"/>
      <c r="M7" s="20"/>
    </row>
    <row r="8" spans="1:23" x14ac:dyDescent="0.3">
      <c r="A8" s="4" t="s">
        <v>35</v>
      </c>
      <c r="B8" s="4" t="s">
        <v>36</v>
      </c>
      <c r="C8" s="4" t="s">
        <v>37</v>
      </c>
      <c r="D8" s="4" t="s">
        <v>9</v>
      </c>
      <c r="E8" s="4" t="s">
        <v>38</v>
      </c>
      <c r="F8" s="4" t="s">
        <v>39</v>
      </c>
      <c r="G8" s="8">
        <v>45891</v>
      </c>
      <c r="H8" s="4">
        <v>48000</v>
      </c>
      <c r="I8" s="4">
        <v>90</v>
      </c>
      <c r="J8" t="str">
        <f>VLOOKUP(D8,Table410[[DeptCode]:[DeptName]],2,FALSE)</f>
        <v>Human Resources</v>
      </c>
      <c r="K8" s="4" t="str">
        <f>_xlfn.XLOOKUP(D8,Table410[DeptCode],Table410[Manager],"Not assigned",0)</f>
        <v>Vijay Rao</v>
      </c>
    </row>
    <row r="9" spans="1:23" x14ac:dyDescent="0.3">
      <c r="A9" s="4" t="s">
        <v>40</v>
      </c>
      <c r="B9" s="4" t="s">
        <v>41</v>
      </c>
      <c r="C9" s="4" t="s">
        <v>42</v>
      </c>
      <c r="D9" s="4" t="s">
        <v>13</v>
      </c>
      <c r="E9" s="4" t="s">
        <v>43</v>
      </c>
      <c r="F9" s="4" t="s">
        <v>44</v>
      </c>
      <c r="G9" s="8">
        <v>45892</v>
      </c>
      <c r="H9" s="4">
        <v>60000</v>
      </c>
      <c r="I9" s="4">
        <v>78</v>
      </c>
      <c r="J9" t="str">
        <f>VLOOKUP(D9,Table410[[DeptCode]:[DeptName]],2,FALSE)</f>
        <v>Information Technology</v>
      </c>
      <c r="K9" s="4" t="str">
        <f>_xlfn.XLOOKUP(D9,Table410[DeptCode],Table410[Manager],"Not assigned",0)</f>
        <v>Meera Iyer</v>
      </c>
    </row>
    <row r="10" spans="1:23" x14ac:dyDescent="0.3">
      <c r="A10" s="4" t="s">
        <v>45</v>
      </c>
      <c r="B10" s="4" t="s">
        <v>31</v>
      </c>
      <c r="C10" s="4" t="s">
        <v>46</v>
      </c>
      <c r="D10" s="4" t="s">
        <v>5</v>
      </c>
      <c r="E10" s="4" t="s">
        <v>47</v>
      </c>
      <c r="F10" s="4" t="s">
        <v>48</v>
      </c>
      <c r="G10" s="8">
        <v>45893</v>
      </c>
      <c r="H10" s="4">
        <v>55000</v>
      </c>
      <c r="I10" s="4">
        <v>88</v>
      </c>
      <c r="J10" t="str">
        <f>VLOOKUP(D10,Table410[[DeptCode]:[DeptName]],2,FALSE)</f>
        <v>Sales</v>
      </c>
      <c r="K10" s="4" t="str">
        <f>_xlfn.XLOOKUP(D10,Table410[DeptCode],Table410[Manager],"Not assigned",0)</f>
        <v>Anita Verma</v>
      </c>
    </row>
    <row r="11" spans="1:23" x14ac:dyDescent="0.3">
      <c r="A11" s="4" t="s">
        <v>49</v>
      </c>
      <c r="B11" s="4" t="s">
        <v>50</v>
      </c>
      <c r="C11" s="4" t="s">
        <v>51</v>
      </c>
      <c r="D11" s="4" t="s">
        <v>26</v>
      </c>
      <c r="E11" s="4" t="s">
        <v>52</v>
      </c>
      <c r="F11" s="4" t="s">
        <v>53</v>
      </c>
      <c r="G11" s="8">
        <v>45894</v>
      </c>
      <c r="H11" s="4">
        <v>75000</v>
      </c>
      <c r="I11" s="4">
        <v>92</v>
      </c>
      <c r="J11" t="str">
        <f>VLOOKUP(D11,Table410[[DeptCode]:[DeptName]],2,FALSE)</f>
        <v>Finance</v>
      </c>
      <c r="K11" s="4" t="str">
        <f>_xlfn.XLOOKUP(D11,Table410[DeptCode],Table410[Manager],"Not assigned",0)</f>
        <v>Arun Sharma</v>
      </c>
      <c r="R11" s="21" t="s">
        <v>158</v>
      </c>
    </row>
    <row r="12" spans="1:23" x14ac:dyDescent="0.3">
      <c r="A12" s="4" t="s">
        <v>54</v>
      </c>
      <c r="B12" s="4" t="s">
        <v>55</v>
      </c>
      <c r="C12" s="4" t="s">
        <v>56</v>
      </c>
      <c r="D12" s="4" t="s">
        <v>13</v>
      </c>
      <c r="E12" s="4" t="s">
        <v>57</v>
      </c>
      <c r="F12" s="4" t="s">
        <v>58</v>
      </c>
      <c r="G12" s="8">
        <v>45895</v>
      </c>
      <c r="H12" s="4">
        <v>62000</v>
      </c>
      <c r="I12" s="4">
        <v>81</v>
      </c>
      <c r="J12" t="str">
        <f>VLOOKUP(D12,Table410[[DeptCode]:[DeptName]],2,FALSE)</f>
        <v>Information Technology</v>
      </c>
      <c r="K12" s="4" t="str">
        <f>_xlfn.XLOOKUP(D12,Table410[DeptCode],Table410[Manager],"Not assigned",0)</f>
        <v>Meera Iyer</v>
      </c>
    </row>
    <row r="13" spans="1:23" x14ac:dyDescent="0.3">
      <c r="A13" s="4" t="s">
        <v>59</v>
      </c>
      <c r="B13" s="4" t="s">
        <v>60</v>
      </c>
      <c r="C13" s="4" t="s">
        <v>61</v>
      </c>
      <c r="D13" s="4" t="s">
        <v>5</v>
      </c>
      <c r="E13" s="4" t="s">
        <v>62</v>
      </c>
      <c r="F13" s="4" t="s">
        <v>63</v>
      </c>
      <c r="G13" s="8">
        <v>45896</v>
      </c>
      <c r="H13" s="4">
        <v>58000</v>
      </c>
      <c r="I13" s="4">
        <v>86</v>
      </c>
      <c r="J13" t="str">
        <f>VLOOKUP(D13,Table410[[DeptCode]:[DeptName]],2,FALSE)</f>
        <v>Sales</v>
      </c>
      <c r="K13" s="4" t="str">
        <f>_xlfn.XLOOKUP(D13,Table410[DeptCode],Table410[Manager],"Not assigned",0)</f>
        <v>Anita Verma</v>
      </c>
      <c r="N13" s="3"/>
    </row>
    <row r="14" spans="1:23" x14ac:dyDescent="0.3">
      <c r="A14" s="4" t="s">
        <v>64</v>
      </c>
      <c r="B14" s="4" t="s">
        <v>36</v>
      </c>
      <c r="C14" s="4" t="s">
        <v>65</v>
      </c>
      <c r="D14" s="4" t="s">
        <v>9</v>
      </c>
      <c r="E14" s="4" t="s">
        <v>66</v>
      </c>
      <c r="F14" s="4" t="s">
        <v>67</v>
      </c>
      <c r="G14" s="8">
        <v>45897</v>
      </c>
      <c r="H14" s="4">
        <v>50000</v>
      </c>
      <c r="I14" s="4">
        <v>79</v>
      </c>
      <c r="J14" t="str">
        <f>VLOOKUP(D14,Table410[[DeptCode]:[DeptName]],2,FALSE)</f>
        <v>Human Resources</v>
      </c>
      <c r="K14" s="4" t="str">
        <f>_xlfn.XLOOKUP(D14,Table410[DeptCode],Table410[Manager],"Not assigned",0)</f>
        <v>Vijay Rao</v>
      </c>
      <c r="U14" s="21" t="s">
        <v>155</v>
      </c>
      <c r="V14" s="21" t="s">
        <v>156</v>
      </c>
      <c r="W14" s="21" t="s">
        <v>157</v>
      </c>
    </row>
    <row r="15" spans="1:23" x14ac:dyDescent="0.3">
      <c r="A15" s="4" t="s">
        <v>68</v>
      </c>
      <c r="B15" s="4" t="s">
        <v>50</v>
      </c>
      <c r="C15" s="4" t="s">
        <v>69</v>
      </c>
      <c r="D15" s="4" t="s">
        <v>26</v>
      </c>
      <c r="E15" s="4" t="s">
        <v>70</v>
      </c>
      <c r="F15" s="4" t="s">
        <v>71</v>
      </c>
      <c r="G15" s="8">
        <v>45898</v>
      </c>
      <c r="H15" s="4">
        <v>72000</v>
      </c>
      <c r="I15" s="4">
        <v>95</v>
      </c>
      <c r="J15" t="str">
        <f>VLOOKUP(D15,Table410[[DeptCode]:[DeptName]],2,FALSE)</f>
        <v>Finance</v>
      </c>
      <c r="K15" s="4" t="str">
        <f>_xlfn.XLOOKUP(D15,Table410[DeptCode],Table410[Manager],"Not assigned",0)</f>
        <v>Arun Sharma</v>
      </c>
      <c r="R15" s="21" t="s">
        <v>153</v>
      </c>
      <c r="S15" s="2">
        <f ca="1">TODAY()</f>
        <v>45972</v>
      </c>
      <c r="T15" s="2" t="s">
        <v>159</v>
      </c>
      <c r="U15">
        <f ca="1">YEAR(S15)</f>
        <v>2025</v>
      </c>
      <c r="V15">
        <f ca="1">MONTH(S15)</f>
        <v>11</v>
      </c>
      <c r="W15">
        <f ca="1">DAY(S15)</f>
        <v>11</v>
      </c>
    </row>
    <row r="16" spans="1:23" x14ac:dyDescent="0.3">
      <c r="A16" s="4" t="s">
        <v>72</v>
      </c>
      <c r="B16" s="4" t="s">
        <v>55</v>
      </c>
      <c r="C16" s="4" t="s">
        <v>73</v>
      </c>
      <c r="D16" s="4" t="s">
        <v>13</v>
      </c>
      <c r="E16" s="4" t="s">
        <v>74</v>
      </c>
      <c r="F16" s="4" t="s">
        <v>75</v>
      </c>
      <c r="G16" s="8">
        <v>45899</v>
      </c>
      <c r="H16" s="4">
        <v>61000</v>
      </c>
      <c r="I16" s="4">
        <v>82</v>
      </c>
      <c r="J16" t="str">
        <f>VLOOKUP(D16,Table410[[DeptCode]:[DeptName]],2,FALSE)</f>
        <v>Information Technology</v>
      </c>
      <c r="K16" s="4" t="str">
        <f>_xlfn.XLOOKUP(D16,Table410[DeptCode],Table410[Manager],"Not assigned",0)</f>
        <v>Meera Iyer</v>
      </c>
      <c r="R16" s="21" t="s">
        <v>154</v>
      </c>
      <c r="S16" s="19">
        <f ca="1">NOW()</f>
        <v>45972.803372337963</v>
      </c>
      <c r="T16" s="19" t="s">
        <v>160</v>
      </c>
      <c r="U16" t="s">
        <v>161</v>
      </c>
      <c r="V16" t="s">
        <v>162</v>
      </c>
      <c r="W16" t="s">
        <v>163</v>
      </c>
    </row>
    <row r="17" spans="1:16" x14ac:dyDescent="0.3">
      <c r="A17" s="4" t="s">
        <v>76</v>
      </c>
      <c r="B17" s="4" t="s">
        <v>31</v>
      </c>
      <c r="C17" s="4" t="s">
        <v>77</v>
      </c>
      <c r="D17" s="4" t="s">
        <v>5</v>
      </c>
      <c r="E17" s="4" t="s">
        <v>78</v>
      </c>
      <c r="F17" s="4" t="s">
        <v>79</v>
      </c>
      <c r="G17" s="8">
        <v>45900</v>
      </c>
      <c r="H17" s="4">
        <v>53000</v>
      </c>
      <c r="I17" s="4">
        <v>88</v>
      </c>
      <c r="J17" t="str">
        <f>VLOOKUP(D17,Table410[[DeptCode]:[DeptName]],2,FALSE)</f>
        <v>Sales</v>
      </c>
      <c r="K17" s="4" t="str">
        <f>_xlfn.XLOOKUP(D17,Table410[DeptCode],Table410[Manager],"Not assigned",0)</f>
        <v>Anita Verma</v>
      </c>
    </row>
    <row r="18" spans="1:16" x14ac:dyDescent="0.3">
      <c r="A18" s="4" t="s">
        <v>80</v>
      </c>
      <c r="B18" s="4" t="s">
        <v>36</v>
      </c>
      <c r="C18" s="4" t="s">
        <v>81</v>
      </c>
      <c r="D18" s="4" t="s">
        <v>9</v>
      </c>
      <c r="E18" s="4" t="s">
        <v>82</v>
      </c>
      <c r="F18" s="4" t="s">
        <v>83</v>
      </c>
      <c r="G18" s="8">
        <v>45901</v>
      </c>
      <c r="H18" s="4">
        <v>47000</v>
      </c>
      <c r="I18" s="4">
        <v>77</v>
      </c>
      <c r="J18" t="str">
        <f>VLOOKUP(D18,Table410[[DeptCode]:[DeptName]],2,FALSE)</f>
        <v>Human Resources</v>
      </c>
      <c r="K18" s="4" t="str">
        <f>_xlfn.XLOOKUP(D18,Table410[DeptCode],Table410[Manager],"Not assigned",0)</f>
        <v>Vijay Rao</v>
      </c>
    </row>
    <row r="19" spans="1:16" x14ac:dyDescent="0.3">
      <c r="A19" s="4" t="s">
        <v>84</v>
      </c>
      <c r="B19" s="4" t="s">
        <v>50</v>
      </c>
      <c r="C19" s="4" t="s">
        <v>85</v>
      </c>
      <c r="D19" s="4" t="s">
        <v>26</v>
      </c>
      <c r="E19" s="4" t="s">
        <v>86</v>
      </c>
      <c r="F19" s="4" t="s">
        <v>87</v>
      </c>
      <c r="G19" s="8">
        <v>45902</v>
      </c>
      <c r="H19" s="4">
        <v>78000</v>
      </c>
      <c r="I19" s="4">
        <v>91</v>
      </c>
      <c r="J19" t="str">
        <f>VLOOKUP(D19,Table410[[DeptCode]:[DeptName]],2,FALSE)</f>
        <v>Finance</v>
      </c>
      <c r="K19" s="4" t="str">
        <f>_xlfn.XLOOKUP(D19,Table410[DeptCode],Table410[Manager],"Not assigned",0)</f>
        <v>Arun Sharma</v>
      </c>
    </row>
    <row r="20" spans="1:16" x14ac:dyDescent="0.3">
      <c r="A20" s="4" t="s">
        <v>88</v>
      </c>
      <c r="B20" s="4" t="s">
        <v>41</v>
      </c>
      <c r="C20" s="4" t="s">
        <v>89</v>
      </c>
      <c r="D20" s="4" t="s">
        <v>13</v>
      </c>
      <c r="E20" s="4" t="s">
        <v>90</v>
      </c>
      <c r="F20" s="4" t="s">
        <v>91</v>
      </c>
      <c r="G20" s="8">
        <v>45903</v>
      </c>
      <c r="H20" s="4">
        <v>61000</v>
      </c>
      <c r="I20" s="4">
        <v>84</v>
      </c>
      <c r="J20" t="str">
        <f>VLOOKUP(D20,Table410[[DeptCode]:[DeptName]],2,FALSE)</f>
        <v>Information Technology</v>
      </c>
      <c r="K20" s="4" t="str">
        <f>_xlfn.XLOOKUP(D20,Table410[DeptCode],Table410[Manager],"Not assigned",0)</f>
        <v>Meera Iyer</v>
      </c>
      <c r="L20" s="4" t="s">
        <v>92</v>
      </c>
      <c r="M20" s="4" t="s">
        <v>93</v>
      </c>
      <c r="N20" s="4" t="s">
        <v>94</v>
      </c>
      <c r="O20" s="4" t="s">
        <v>95</v>
      </c>
      <c r="P20" s="4" t="s">
        <v>96</v>
      </c>
    </row>
    <row r="21" spans="1:16" x14ac:dyDescent="0.3">
      <c r="A21" s="4" t="s">
        <v>97</v>
      </c>
      <c r="B21" s="4" t="s">
        <v>60</v>
      </c>
      <c r="C21" s="4" t="s">
        <v>98</v>
      </c>
      <c r="D21" s="4" t="s">
        <v>5</v>
      </c>
      <c r="E21" s="4" t="s">
        <v>99</v>
      </c>
      <c r="F21" s="4" t="s">
        <v>100</v>
      </c>
      <c r="G21" s="8">
        <v>45904</v>
      </c>
      <c r="H21" s="4">
        <v>54000</v>
      </c>
      <c r="I21" s="4">
        <v>87</v>
      </c>
      <c r="J21" t="str">
        <f>VLOOKUP(D21,Table410[[DeptCode]:[DeptName]],2,FALSE)</f>
        <v>Sales</v>
      </c>
      <c r="K21" s="4" t="str">
        <f>_xlfn.XLOOKUP(D21,Table410[DeptCode],Table410[Manager],"Not assigned",0)</f>
        <v>Anita Verma</v>
      </c>
      <c r="L21" s="4" t="s">
        <v>101</v>
      </c>
      <c r="M21" s="4">
        <v>0.12</v>
      </c>
      <c r="N21" s="4">
        <v>0.08</v>
      </c>
      <c r="O21" s="4">
        <v>0.05</v>
      </c>
      <c r="P21" s="4">
        <v>0.02</v>
      </c>
    </row>
    <row r="22" spans="1:16" x14ac:dyDescent="0.3">
      <c r="A22" s="4" t="s">
        <v>102</v>
      </c>
      <c r="B22" s="4" t="s">
        <v>50</v>
      </c>
      <c r="C22" s="4" t="s">
        <v>103</v>
      </c>
      <c r="D22" s="4" t="s">
        <v>26</v>
      </c>
      <c r="E22" s="4" t="s">
        <v>104</v>
      </c>
      <c r="F22" s="4" t="s">
        <v>105</v>
      </c>
      <c r="G22" s="8">
        <v>45905</v>
      </c>
      <c r="H22" s="4">
        <v>71000</v>
      </c>
      <c r="I22" s="4">
        <v>89</v>
      </c>
      <c r="J22" t="str">
        <f>VLOOKUP(D22,Table410[[DeptCode]:[DeptName]],2,FALSE)</f>
        <v>Finance</v>
      </c>
      <c r="K22" s="4" t="str">
        <f>_xlfn.XLOOKUP(D22,Table410[DeptCode],Table410[Manager],"Not assigned",0)</f>
        <v>Arun Sharma</v>
      </c>
    </row>
    <row r="23" spans="1:16" x14ac:dyDescent="0.3">
      <c r="A23" s="4" t="s">
        <v>106</v>
      </c>
      <c r="B23" s="4" t="s">
        <v>36</v>
      </c>
      <c r="C23" s="4" t="s">
        <v>107</v>
      </c>
      <c r="D23" s="4" t="s">
        <v>9</v>
      </c>
      <c r="E23" s="4" t="s">
        <v>108</v>
      </c>
      <c r="F23" s="4" t="s">
        <v>109</v>
      </c>
      <c r="G23" s="8">
        <v>45906</v>
      </c>
      <c r="H23" s="4">
        <v>49000</v>
      </c>
      <c r="I23" s="4">
        <v>80</v>
      </c>
      <c r="J23" t="str">
        <f>VLOOKUP(D23,Table410[[DeptCode]:[DeptName]],2,FALSE)</f>
        <v>Human Resources</v>
      </c>
      <c r="K23" s="4" t="str">
        <f>_xlfn.XLOOKUP(D23,Table410[DeptCode],Table410[Manager],"Not assigned",0)</f>
        <v>Vijay Rao</v>
      </c>
    </row>
    <row r="24" spans="1:16" ht="14.4" customHeight="1" x14ac:dyDescent="0.3">
      <c r="A24" s="4" t="s">
        <v>110</v>
      </c>
      <c r="B24" s="4" t="s">
        <v>55</v>
      </c>
      <c r="C24" s="4" t="s">
        <v>111</v>
      </c>
      <c r="D24" s="4" t="s">
        <v>13</v>
      </c>
      <c r="E24" s="4" t="s">
        <v>112</v>
      </c>
      <c r="F24" s="4" t="s">
        <v>113</v>
      </c>
      <c r="G24" s="8">
        <v>45907</v>
      </c>
      <c r="H24" s="4">
        <v>64000</v>
      </c>
      <c r="I24" s="4">
        <v>93</v>
      </c>
      <c r="J24" t="str">
        <f>VLOOKUP(D24,Table410[[DeptCode]:[DeptName]],2,FALSE)</f>
        <v>Information Technology</v>
      </c>
      <c r="K24" s="4" t="str">
        <f>_xlfn.XLOOKUP(D24,Table410[DeptCode],Table410[Manager],"Not assigned",0)</f>
        <v>Meera Iyer</v>
      </c>
      <c r="L24" s="23" t="s">
        <v>114</v>
      </c>
      <c r="M24" s="23"/>
      <c r="N24" s="23"/>
    </row>
    <row r="25" spans="1:16" ht="33.6" customHeight="1" x14ac:dyDescent="0.3">
      <c r="A25" s="4" t="s">
        <v>115</v>
      </c>
      <c r="B25" s="4" t="s">
        <v>31</v>
      </c>
      <c r="C25" s="4" t="s">
        <v>116</v>
      </c>
      <c r="D25" s="4" t="s">
        <v>5</v>
      </c>
      <c r="E25" s="4" t="s">
        <v>117</v>
      </c>
      <c r="F25" s="4" t="s">
        <v>118</v>
      </c>
      <c r="G25" s="8">
        <v>45908</v>
      </c>
      <c r="H25" s="4">
        <v>56000</v>
      </c>
      <c r="I25" s="4">
        <v>84</v>
      </c>
      <c r="J25" t="str">
        <f>VLOOKUP(D25,Table410[[DeptCode]:[DeptName]],2,FALSE)</f>
        <v>Sales</v>
      </c>
      <c r="K25" s="4" t="str">
        <f>_xlfn.XLOOKUP(D25,Table410[DeptCode],Table410[Manager],"Not assigned",0)</f>
        <v>Anita Verma</v>
      </c>
      <c r="L25" s="23"/>
      <c r="M25" s="23"/>
      <c r="N25" s="23"/>
    </row>
    <row r="26" spans="1:16" ht="14.4" customHeight="1" x14ac:dyDescent="0.3">
      <c r="A26" s="4" t="s">
        <v>119</v>
      </c>
      <c r="B26" s="4" t="s">
        <v>50</v>
      </c>
      <c r="C26" s="4" t="s">
        <v>120</v>
      </c>
      <c r="D26" s="4" t="s">
        <v>26</v>
      </c>
      <c r="E26" s="4" t="s">
        <v>121</v>
      </c>
      <c r="F26" s="4" t="s">
        <v>122</v>
      </c>
      <c r="G26" s="8">
        <v>45909</v>
      </c>
      <c r="H26" s="4">
        <v>73000</v>
      </c>
      <c r="I26" s="4">
        <v>90</v>
      </c>
      <c r="J26" t="str">
        <f>VLOOKUP(D26,Table410[[DeptCode]:[DeptName]],2,FALSE)</f>
        <v>Finance</v>
      </c>
      <c r="K26" s="4" t="str">
        <f>_xlfn.XLOOKUP(D26,Table410[DeptCode],Table410[Manager],"Not assigned",0)</f>
        <v>Arun Sharma</v>
      </c>
      <c r="L26" s="17"/>
      <c r="M26" s="17"/>
      <c r="N26" s="17"/>
    </row>
    <row r="29" spans="1:16" x14ac:dyDescent="0.3">
      <c r="F29" s="7"/>
      <c r="G29" s="1"/>
      <c r="H29" s="1"/>
      <c r="L29" s="1" t="s">
        <v>123</v>
      </c>
      <c r="M29" s="1" t="s">
        <v>124</v>
      </c>
      <c r="N29" s="9" t="s">
        <v>125</v>
      </c>
    </row>
    <row r="30" spans="1:16" x14ac:dyDescent="0.3">
      <c r="F30" s="8"/>
      <c r="G30" s="4"/>
      <c r="L30" s="4">
        <v>0</v>
      </c>
      <c r="M30" s="4" t="s">
        <v>96</v>
      </c>
      <c r="N30">
        <f>HLOOKUP(Table17[[#This Row],[Grade]],Table28[[#All],[A]:[D]],2,FALSE)</f>
        <v>0.02</v>
      </c>
    </row>
    <row r="31" spans="1:16" x14ac:dyDescent="0.3">
      <c r="F31" s="8"/>
      <c r="G31" s="4"/>
      <c r="L31" s="4">
        <v>75</v>
      </c>
      <c r="M31" s="4" t="s">
        <v>95</v>
      </c>
      <c r="N31">
        <f>HLOOKUP(Table17[[#This Row],[Grade]],Table28[[#All],[A]:[D]],2,FALSE)</f>
        <v>0.05</v>
      </c>
    </row>
    <row r="32" spans="1:16" ht="23.4" x14ac:dyDescent="0.45">
      <c r="C32" s="22" t="s">
        <v>126</v>
      </c>
      <c r="D32" s="22"/>
      <c r="E32" s="22"/>
      <c r="F32" s="8"/>
      <c r="G32" s="4"/>
      <c r="L32" s="4">
        <v>85</v>
      </c>
      <c r="M32" s="4" t="s">
        <v>94</v>
      </c>
      <c r="N32">
        <f>HLOOKUP(Table17[[#This Row],[Grade]],Table28[[#All],[A]:[D]],2,FALSE)</f>
        <v>0.08</v>
      </c>
    </row>
    <row r="33" spans="3:21" x14ac:dyDescent="0.3">
      <c r="F33" s="8"/>
      <c r="G33" s="4"/>
      <c r="L33" s="4">
        <v>92</v>
      </c>
      <c r="M33" s="4" t="s">
        <v>93</v>
      </c>
      <c r="N33">
        <f>HLOOKUP(Table17[[#This Row],[Grade]],Table28[[#All],[A]:[D]],2,FALSE)</f>
        <v>0.12</v>
      </c>
    </row>
    <row r="34" spans="3:21" x14ac:dyDescent="0.3">
      <c r="C34" s="6" t="s">
        <v>127</v>
      </c>
      <c r="D34" s="2"/>
      <c r="E34" s="2">
        <f ca="1">TODAY()</f>
        <v>45972</v>
      </c>
      <c r="F34" s="8"/>
      <c r="G34" s="4"/>
    </row>
    <row r="35" spans="3:21" x14ac:dyDescent="0.3">
      <c r="C35" s="6"/>
      <c r="D35"/>
      <c r="E35" s="19">
        <f ca="1">NOW()</f>
        <v>45972.803372337963</v>
      </c>
      <c r="F35" s="8"/>
      <c r="G35" s="4"/>
    </row>
    <row r="36" spans="3:21" x14ac:dyDescent="0.3">
      <c r="C36" s="6" t="s">
        <v>128</v>
      </c>
      <c r="D36" s="3"/>
      <c r="E36"/>
    </row>
    <row r="37" spans="3:21" ht="162" customHeight="1" x14ac:dyDescent="0.3">
      <c r="C37" s="6" t="s">
        <v>129</v>
      </c>
      <c r="D37"/>
      <c r="E37">
        <f ca="1">YEAR(E34)</f>
        <v>2025</v>
      </c>
      <c r="L37" s="24" t="s">
        <v>130</v>
      </c>
      <c r="M37" s="25"/>
      <c r="N37" s="25"/>
      <c r="O37" s="12" t="s">
        <v>131</v>
      </c>
    </row>
    <row r="38" spans="3:21" ht="15" customHeight="1" x14ac:dyDescent="0.3">
      <c r="C38" s="6" t="s">
        <v>132</v>
      </c>
      <c r="D38"/>
      <c r="E38">
        <f ca="1">MONTH(E34)</f>
        <v>11</v>
      </c>
      <c r="L38" s="17"/>
      <c r="M38" s="17"/>
      <c r="N38" s="17"/>
      <c r="O38" s="5"/>
    </row>
    <row r="39" spans="3:21" ht="15" customHeight="1" x14ac:dyDescent="0.3">
      <c r="C39" s="6" t="s">
        <v>133</v>
      </c>
      <c r="D39"/>
      <c r="E39">
        <f ca="1">DAY(E34)</f>
        <v>11</v>
      </c>
      <c r="O39" s="5"/>
    </row>
    <row r="40" spans="3:21" ht="15" customHeight="1" x14ac:dyDescent="0.3">
      <c r="C40" s="6" t="s">
        <v>134</v>
      </c>
      <c r="D40"/>
      <c r="E40" s="4">
        <f ca="1">WEEKDAY(E34)</f>
        <v>3</v>
      </c>
      <c r="F40" s="26" t="s">
        <v>135</v>
      </c>
      <c r="G40" s="26"/>
      <c r="O40" s="5"/>
      <c r="U40" s="5"/>
    </row>
    <row r="41" spans="3:21" ht="15" customHeight="1" x14ac:dyDescent="0.3">
      <c r="C41" s="6" t="s">
        <v>136</v>
      </c>
      <c r="D41" s="5"/>
      <c r="E41" t="str">
        <f ca="1">CHOOSE(WEEKDAY(E34),"mon","tue","wed","thur","fri","sat","sun")</f>
        <v>wed</v>
      </c>
      <c r="L41" s="7" t="s">
        <v>18</v>
      </c>
      <c r="M41" s="1" t="s">
        <v>137</v>
      </c>
      <c r="N41" s="1" t="s">
        <v>138</v>
      </c>
      <c r="Q41" s="5"/>
    </row>
    <row r="42" spans="3:21" ht="15" customHeight="1" x14ac:dyDescent="0.3">
      <c r="C42" s="6" t="s">
        <v>139</v>
      </c>
      <c r="D42"/>
      <c r="E42">
        <f ca="1">DATEDIF(E8,TODAY(),"Y")</f>
        <v>7</v>
      </c>
      <c r="J42" t="str">
        <f>INDEX(A7:C10,2,3)</f>
        <v>Anna Lee</v>
      </c>
      <c r="L42" s="8" t="s">
        <v>31</v>
      </c>
      <c r="M42" s="4" t="s">
        <v>140</v>
      </c>
      <c r="N42" s="4">
        <v>1200</v>
      </c>
    </row>
    <row r="43" spans="3:21" ht="15" customHeight="1" x14ac:dyDescent="0.3">
      <c r="C43" s="6" t="s">
        <v>141</v>
      </c>
      <c r="D43"/>
      <c r="E43">
        <f ca="1">DATEDIF(E8,TODAY(),"yM")</f>
        <v>7</v>
      </c>
      <c r="L43" s="8" t="s">
        <v>36</v>
      </c>
      <c r="M43" s="4" t="s">
        <v>142</v>
      </c>
      <c r="N43" s="4">
        <v>900</v>
      </c>
    </row>
    <row r="44" spans="3:21" ht="15" customHeight="1" x14ac:dyDescent="0.3">
      <c r="C44" s="6" t="s">
        <v>143</v>
      </c>
      <c r="D44"/>
      <c r="E44">
        <f ca="1">DATEDIF(F2,TODAY(),"Y")</f>
        <v>125</v>
      </c>
      <c r="L44" s="8" t="s">
        <v>41</v>
      </c>
      <c r="M44" s="4" t="s">
        <v>144</v>
      </c>
      <c r="N44" s="4">
        <v>1500</v>
      </c>
    </row>
    <row r="45" spans="3:21" ht="15" customHeight="1" x14ac:dyDescent="0.3">
      <c r="C45"/>
      <c r="D45"/>
      <c r="E45"/>
      <c r="L45" s="8" t="s">
        <v>50</v>
      </c>
      <c r="M45" s="4" t="s">
        <v>145</v>
      </c>
      <c r="N45" s="4">
        <v>2000</v>
      </c>
    </row>
    <row r="46" spans="3:21" ht="15" customHeight="1" x14ac:dyDescent="0.3">
      <c r="L46" s="8" t="s">
        <v>55</v>
      </c>
      <c r="M46" s="4" t="s">
        <v>146</v>
      </c>
      <c r="N46" s="4">
        <v>1100</v>
      </c>
    </row>
    <row r="47" spans="3:21" ht="25.2" customHeight="1" x14ac:dyDescent="0.3">
      <c r="L47" s="8" t="s">
        <v>60</v>
      </c>
      <c r="M47" s="4" t="s">
        <v>147</v>
      </c>
      <c r="N47" s="4">
        <v>800</v>
      </c>
    </row>
    <row r="48" spans="3:21" ht="40.950000000000003" customHeight="1" x14ac:dyDescent="0.3"/>
    <row r="49" spans="3:16" ht="15" customHeight="1" x14ac:dyDescent="0.3">
      <c r="M49" s="6" t="s">
        <v>148</v>
      </c>
      <c r="N49">
        <f>MATCH("P100",Table39[SKU],0)</f>
        <v>1</v>
      </c>
    </row>
    <row r="50" spans="3:16" ht="39.75" customHeight="1" x14ac:dyDescent="0.3">
      <c r="L50" s="13"/>
      <c r="M50" s="16" t="s">
        <v>149</v>
      </c>
      <c r="N50" s="13">
        <f>INDEX(Table39[[SKU]:[UnitPrice]],4,3)</f>
        <v>2000</v>
      </c>
      <c r="O50" s="13"/>
    </row>
    <row r="51" spans="3:16" ht="15" customHeight="1" x14ac:dyDescent="0.3">
      <c r="L51" s="14"/>
      <c r="M51" s="18" t="s">
        <v>150</v>
      </c>
      <c r="N51" s="15" t="str" cm="1">
        <f t="array" ref="N51:P51">INDEX(Table39[[SKU]:[UnitPrice]],MATCH("P103",Table39[SKU],0),0)</f>
        <v>P103</v>
      </c>
      <c r="O51" s="15" t="str">
        <v>Financial Suite</v>
      </c>
      <c r="P51">
        <v>2000</v>
      </c>
    </row>
    <row r="52" spans="3:16" ht="15" customHeight="1" x14ac:dyDescent="0.3">
      <c r="M52" s="18"/>
    </row>
    <row r="55" spans="3:16" ht="232.2" customHeight="1" x14ac:dyDescent="0.3">
      <c r="M55" s="5" t="s">
        <v>151</v>
      </c>
    </row>
    <row r="62" spans="3:16" ht="15" customHeight="1" x14ac:dyDescent="0.3">
      <c r="C62"/>
      <c r="D62"/>
      <c r="E62"/>
    </row>
    <row r="63" spans="3:16" ht="15" customHeight="1" x14ac:dyDescent="0.3">
      <c r="C63"/>
      <c r="D63"/>
      <c r="E63"/>
    </row>
    <row r="64" spans="3:16" ht="15" customHeight="1" x14ac:dyDescent="0.3">
      <c r="C64"/>
      <c r="D64"/>
      <c r="E64"/>
    </row>
  </sheetData>
  <mergeCells count="4">
    <mergeCell ref="L24:N25"/>
    <mergeCell ref="C32:E32"/>
    <mergeCell ref="L37:N37"/>
    <mergeCell ref="F40:G40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6B597-2165-474F-BB1A-E927DB934F4B}">
  <dimension ref="A2:W64"/>
  <sheetViews>
    <sheetView workbookViewId="0">
      <selection sqref="A1:XFD1048576"/>
    </sheetView>
  </sheetViews>
  <sheetFormatPr defaultRowHeight="14.4" x14ac:dyDescent="0.3"/>
  <cols>
    <col min="1" max="1" width="13.5546875" style="4" customWidth="1"/>
    <col min="2" max="2" width="22.5546875" style="4" customWidth="1"/>
    <col min="3" max="3" width="17.44140625" style="4" customWidth="1"/>
    <col min="4" max="4" width="18" style="4" customWidth="1"/>
    <col min="5" max="5" width="21.5546875" style="4" customWidth="1"/>
    <col min="6" max="6" width="19.6640625" style="4" customWidth="1"/>
    <col min="7" max="7" width="21.6640625" style="8" customWidth="1"/>
    <col min="8" max="8" width="23.5546875" style="4" customWidth="1"/>
    <col min="9" max="9" width="19.5546875" style="4" customWidth="1"/>
    <col min="10" max="10" width="55.44140625" customWidth="1"/>
    <col min="11" max="11" width="57.21875" customWidth="1"/>
    <col min="12" max="12" width="36.5546875" bestFit="1" customWidth="1"/>
    <col min="13" max="13" width="51.33203125" customWidth="1"/>
    <col min="14" max="14" width="21.6640625" bestFit="1" customWidth="1"/>
    <col min="15" max="15" width="42" customWidth="1"/>
    <col min="17" max="17" width="14.6640625" bestFit="1" customWidth="1"/>
    <col min="18" max="18" width="21.6640625" bestFit="1" customWidth="1"/>
    <col min="19" max="19" width="15.44140625" bestFit="1" customWidth="1"/>
    <col min="20" max="20" width="15.44140625" customWidth="1"/>
    <col min="21" max="21" width="36.5546875" bestFit="1" customWidth="1"/>
    <col min="22" max="22" width="18.21875" bestFit="1" customWidth="1"/>
    <col min="23" max="23" width="14.88671875" bestFit="1" customWidth="1"/>
  </cols>
  <sheetData>
    <row r="2" spans="1:23" ht="80.400000000000006" customHeight="1" x14ac:dyDescent="0.3">
      <c r="J2" s="11" t="s">
        <v>0</v>
      </c>
      <c r="K2" s="11" t="s">
        <v>152</v>
      </c>
      <c r="L2" s="10" t="s">
        <v>1</v>
      </c>
      <c r="M2" s="10" t="s">
        <v>2</v>
      </c>
      <c r="N2" s="10" t="s">
        <v>3</v>
      </c>
      <c r="O2" s="10" t="s">
        <v>4</v>
      </c>
    </row>
    <row r="3" spans="1:23" ht="15" customHeight="1" x14ac:dyDescent="0.3">
      <c r="J3" s="27" t="e" cm="1">
        <f t="array" aca="1" ref="J3" ca="1">VLOOPUP($B$2,$B$2:$D$27,2,FALSE)</f>
        <v>#NAME?</v>
      </c>
      <c r="L3" s="4" t="s">
        <v>5</v>
      </c>
      <c r="M3" s="4" t="s">
        <v>6</v>
      </c>
      <c r="N3" s="4" t="s">
        <v>7</v>
      </c>
      <c r="O3" s="4" t="s">
        <v>8</v>
      </c>
    </row>
    <row r="4" spans="1:23" ht="15" customHeight="1" x14ac:dyDescent="0.3">
      <c r="J4" s="27" t="e" cm="1">
        <f t="array" aca="1" ref="J4" ca="1">XLOOPUP($B$2,$B$2:$D$27,2,FALSE)</f>
        <v>#NAME?</v>
      </c>
      <c r="L4" s="4" t="s">
        <v>9</v>
      </c>
      <c r="M4" s="4" t="s">
        <v>10</v>
      </c>
      <c r="N4" s="4" t="s">
        <v>11</v>
      </c>
      <c r="O4" s="4" t="s">
        <v>12</v>
      </c>
    </row>
    <row r="5" spans="1:23" ht="15" customHeight="1" x14ac:dyDescent="0.3">
      <c r="L5" s="4" t="s">
        <v>13</v>
      </c>
      <c r="M5" s="4" t="s">
        <v>14</v>
      </c>
      <c r="N5" s="4" t="s">
        <v>15</v>
      </c>
      <c r="O5" s="4" t="s">
        <v>16</v>
      </c>
    </row>
    <row r="6" spans="1:23" ht="14.4" customHeight="1" x14ac:dyDescent="0.3">
      <c r="A6" s="1" t="s">
        <v>17</v>
      </c>
      <c r="B6" s="1" t="s">
        <v>18</v>
      </c>
      <c r="C6" s="1" t="s">
        <v>19</v>
      </c>
      <c r="D6" s="1" t="s">
        <v>1</v>
      </c>
      <c r="E6" s="1" t="s">
        <v>20</v>
      </c>
      <c r="F6" s="1" t="s">
        <v>21</v>
      </c>
      <c r="G6" s="7" t="s">
        <v>22</v>
      </c>
      <c r="H6" s="1" t="s">
        <v>23</v>
      </c>
      <c r="I6" s="1" t="s">
        <v>24</v>
      </c>
      <c r="J6" s="9" t="s">
        <v>25</v>
      </c>
      <c r="K6" s="9" t="s">
        <v>3</v>
      </c>
      <c r="L6" s="4" t="s">
        <v>26</v>
      </c>
      <c r="M6" s="4" t="s">
        <v>27</v>
      </c>
      <c r="N6" s="4" t="s">
        <v>28</v>
      </c>
      <c r="O6" s="4" t="s">
        <v>29</v>
      </c>
    </row>
    <row r="7" spans="1:23" ht="14.4" customHeight="1" x14ac:dyDescent="0.3">
      <c r="A7" s="4" t="s">
        <v>30</v>
      </c>
      <c r="B7" s="4" t="s">
        <v>31</v>
      </c>
      <c r="C7" s="4" t="s">
        <v>32</v>
      </c>
      <c r="D7" s="4" t="s">
        <v>5</v>
      </c>
      <c r="E7" s="8">
        <v>43595</v>
      </c>
      <c r="F7" s="4" t="s">
        <v>34</v>
      </c>
      <c r="G7" s="8">
        <v>45890.395833333336</v>
      </c>
      <c r="H7" s="4">
        <v>52000</v>
      </c>
      <c r="I7" s="4">
        <v>85</v>
      </c>
      <c r="J7" t="str">
        <f>VLOOKUP(D7,Table41015[[DeptCode]:[DeptName]],2,FALSE)</f>
        <v>Sales</v>
      </c>
      <c r="K7" s="4" t="str">
        <f>_xlfn.XLOOKUP(D7,Table41015[DeptCode],Table41015[Manager],"Not assigned",0)</f>
        <v>Anita Verma</v>
      </c>
      <c r="L7" s="20"/>
      <c r="M7" s="20"/>
    </row>
    <row r="8" spans="1:23" x14ac:dyDescent="0.3">
      <c r="A8" s="4" t="s">
        <v>35</v>
      </c>
      <c r="B8" s="4" t="s">
        <v>36</v>
      </c>
      <c r="C8" s="4" t="s">
        <v>37</v>
      </c>
      <c r="D8" s="4" t="s">
        <v>9</v>
      </c>
      <c r="E8" s="4" t="s">
        <v>38</v>
      </c>
      <c r="F8" s="4" t="s">
        <v>39</v>
      </c>
      <c r="G8" s="8">
        <v>45891</v>
      </c>
      <c r="H8" s="4">
        <v>48000</v>
      </c>
      <c r="I8" s="4">
        <v>90</v>
      </c>
      <c r="J8" t="str">
        <f>VLOOKUP(D8,Table41015[[DeptCode]:[DeptName]],2,FALSE)</f>
        <v>Human Resources</v>
      </c>
      <c r="K8" s="4" t="str">
        <f>_xlfn.XLOOKUP(D8,Table41015[DeptCode],Table41015[Manager],"Not assigned",0)</f>
        <v>Vijay Rao</v>
      </c>
    </row>
    <row r="9" spans="1:23" x14ac:dyDescent="0.3">
      <c r="A9" s="4" t="s">
        <v>40</v>
      </c>
      <c r="B9" s="4" t="s">
        <v>41</v>
      </c>
      <c r="C9" s="4" t="s">
        <v>42</v>
      </c>
      <c r="D9" s="4" t="s">
        <v>13</v>
      </c>
      <c r="E9" s="4" t="s">
        <v>43</v>
      </c>
      <c r="F9" s="4" t="s">
        <v>44</v>
      </c>
      <c r="G9" s="8">
        <v>45892</v>
      </c>
      <c r="H9" s="4">
        <v>60000</v>
      </c>
      <c r="I9" s="4">
        <v>78</v>
      </c>
      <c r="J9" t="str">
        <f>VLOOKUP(D9,Table41015[[DeptCode]:[DeptName]],2,FALSE)</f>
        <v>Information Technology</v>
      </c>
      <c r="K9" s="4" t="str">
        <f>_xlfn.XLOOKUP(D9,Table41015[DeptCode],Table41015[Manager],"Not assigned",0)</f>
        <v>Meera Iyer</v>
      </c>
    </row>
    <row r="10" spans="1:23" x14ac:dyDescent="0.3">
      <c r="A10" s="4" t="s">
        <v>45</v>
      </c>
      <c r="B10" s="4" t="s">
        <v>31</v>
      </c>
      <c r="C10" s="4" t="s">
        <v>46</v>
      </c>
      <c r="D10" s="4" t="s">
        <v>5</v>
      </c>
      <c r="E10" s="4" t="s">
        <v>47</v>
      </c>
      <c r="F10" s="4" t="s">
        <v>48</v>
      </c>
      <c r="G10" s="8">
        <v>45893</v>
      </c>
      <c r="H10" s="4">
        <v>55000</v>
      </c>
      <c r="I10" s="4">
        <v>88</v>
      </c>
      <c r="J10" t="str">
        <f>VLOOKUP(D10,Table41015[[DeptCode]:[DeptName]],2,FALSE)</f>
        <v>Sales</v>
      </c>
      <c r="K10" s="4" t="str">
        <f>_xlfn.XLOOKUP(D10,Table41015[DeptCode],Table41015[Manager],"Not assigned",0)</f>
        <v>Anita Verma</v>
      </c>
    </row>
    <row r="11" spans="1:23" x14ac:dyDescent="0.3">
      <c r="A11" s="4" t="s">
        <v>49</v>
      </c>
      <c r="B11" s="4" t="s">
        <v>50</v>
      </c>
      <c r="C11" s="4" t="s">
        <v>51</v>
      </c>
      <c r="D11" s="4" t="s">
        <v>26</v>
      </c>
      <c r="E11" s="4" t="s">
        <v>52</v>
      </c>
      <c r="F11" s="4" t="s">
        <v>53</v>
      </c>
      <c r="G11" s="8">
        <v>45894</v>
      </c>
      <c r="H11" s="4">
        <v>75000</v>
      </c>
      <c r="I11" s="4">
        <v>92</v>
      </c>
      <c r="J11" t="str">
        <f>VLOOKUP(D11,Table41015[[DeptCode]:[DeptName]],2,FALSE)</f>
        <v>Finance</v>
      </c>
      <c r="K11" s="4" t="str">
        <f>_xlfn.XLOOKUP(D11,Table41015[DeptCode],Table41015[Manager],"Not assigned",0)</f>
        <v>Arun Sharma</v>
      </c>
      <c r="R11" s="21" t="s">
        <v>158</v>
      </c>
    </row>
    <row r="12" spans="1:23" x14ac:dyDescent="0.3">
      <c r="A12" s="4" t="s">
        <v>54</v>
      </c>
      <c r="B12" s="4" t="s">
        <v>55</v>
      </c>
      <c r="C12" s="4" t="s">
        <v>56</v>
      </c>
      <c r="D12" s="4" t="s">
        <v>13</v>
      </c>
      <c r="E12" s="4" t="s">
        <v>57</v>
      </c>
      <c r="F12" s="4" t="s">
        <v>58</v>
      </c>
      <c r="G12" s="8">
        <v>45895</v>
      </c>
      <c r="H12" s="4">
        <v>62000</v>
      </c>
      <c r="I12" s="4">
        <v>81</v>
      </c>
      <c r="J12" t="str">
        <f>VLOOKUP(D12,Table41015[[DeptCode]:[DeptName]],2,FALSE)</f>
        <v>Information Technology</v>
      </c>
      <c r="K12" s="4" t="str">
        <f>_xlfn.XLOOKUP(D12,Table41015[DeptCode],Table41015[Manager],"Not assigned",0)</f>
        <v>Meera Iyer</v>
      </c>
    </row>
    <row r="13" spans="1:23" x14ac:dyDescent="0.3">
      <c r="A13" s="4" t="s">
        <v>59</v>
      </c>
      <c r="B13" s="4" t="s">
        <v>60</v>
      </c>
      <c r="C13" s="4" t="s">
        <v>61</v>
      </c>
      <c r="D13" s="4" t="s">
        <v>5</v>
      </c>
      <c r="E13" s="4" t="s">
        <v>62</v>
      </c>
      <c r="F13" s="4" t="s">
        <v>63</v>
      </c>
      <c r="G13" s="8">
        <v>45896</v>
      </c>
      <c r="H13" s="4">
        <v>58000</v>
      </c>
      <c r="I13" s="4">
        <v>86</v>
      </c>
      <c r="J13" t="str">
        <f>VLOOKUP(D13,Table41015[[DeptCode]:[DeptName]],2,FALSE)</f>
        <v>Sales</v>
      </c>
      <c r="K13" s="4" t="str">
        <f>_xlfn.XLOOKUP(D13,Table41015[DeptCode],Table41015[Manager],"Not assigned",0)</f>
        <v>Anita Verma</v>
      </c>
      <c r="N13" s="3"/>
    </row>
    <row r="14" spans="1:23" x14ac:dyDescent="0.3">
      <c r="A14" s="4" t="s">
        <v>64</v>
      </c>
      <c r="B14" s="4" t="s">
        <v>36</v>
      </c>
      <c r="C14" s="4" t="s">
        <v>65</v>
      </c>
      <c r="D14" s="4" t="s">
        <v>9</v>
      </c>
      <c r="E14" s="4" t="s">
        <v>66</v>
      </c>
      <c r="F14" s="4" t="s">
        <v>67</v>
      </c>
      <c r="G14" s="8">
        <v>45897</v>
      </c>
      <c r="H14" s="4">
        <v>50000</v>
      </c>
      <c r="I14" s="4">
        <v>79</v>
      </c>
      <c r="J14" t="str">
        <f>VLOOKUP(D14,Table41015[[DeptCode]:[DeptName]],2,FALSE)</f>
        <v>Human Resources</v>
      </c>
      <c r="K14" s="4" t="str">
        <f>_xlfn.XLOOKUP(D14,Table41015[DeptCode],Table41015[Manager],"Not assigned",0)</f>
        <v>Vijay Rao</v>
      </c>
      <c r="U14" s="21" t="s">
        <v>155</v>
      </c>
      <c r="V14" s="21" t="s">
        <v>156</v>
      </c>
      <c r="W14" s="21" t="s">
        <v>157</v>
      </c>
    </row>
    <row r="15" spans="1:23" x14ac:dyDescent="0.3">
      <c r="A15" s="4" t="s">
        <v>68</v>
      </c>
      <c r="B15" s="4" t="s">
        <v>50</v>
      </c>
      <c r="C15" s="4" t="s">
        <v>69</v>
      </c>
      <c r="D15" s="4" t="s">
        <v>26</v>
      </c>
      <c r="E15" s="4" t="s">
        <v>70</v>
      </c>
      <c r="F15" s="4" t="s">
        <v>71</v>
      </c>
      <c r="G15" s="8">
        <v>45898</v>
      </c>
      <c r="H15" s="4">
        <v>72000</v>
      </c>
      <c r="I15" s="4">
        <v>95</v>
      </c>
      <c r="J15" t="str">
        <f>VLOOKUP(D15,Table41015[[DeptCode]:[DeptName]],2,FALSE)</f>
        <v>Finance</v>
      </c>
      <c r="K15" s="4" t="str">
        <f>_xlfn.XLOOKUP(D15,Table41015[DeptCode],Table41015[Manager],"Not assigned",0)</f>
        <v>Arun Sharma</v>
      </c>
      <c r="R15" s="21" t="s">
        <v>153</v>
      </c>
      <c r="S15" s="2">
        <f ca="1">TODAY()</f>
        <v>45972</v>
      </c>
      <c r="T15" s="2" t="s">
        <v>159</v>
      </c>
      <c r="U15">
        <f ca="1">YEAR(S15)</f>
        <v>2025</v>
      </c>
      <c r="V15">
        <f ca="1">MONTH(S15)</f>
        <v>11</v>
      </c>
      <c r="W15">
        <f ca="1">DAY(S15)</f>
        <v>11</v>
      </c>
    </row>
    <row r="16" spans="1:23" x14ac:dyDescent="0.3">
      <c r="A16" s="4" t="s">
        <v>72</v>
      </c>
      <c r="B16" s="4" t="s">
        <v>55</v>
      </c>
      <c r="C16" s="4" t="s">
        <v>73</v>
      </c>
      <c r="D16" s="4" t="s">
        <v>13</v>
      </c>
      <c r="E16" s="4" t="s">
        <v>74</v>
      </c>
      <c r="F16" s="4" t="s">
        <v>75</v>
      </c>
      <c r="G16" s="8">
        <v>45899</v>
      </c>
      <c r="H16" s="4">
        <v>61000</v>
      </c>
      <c r="I16" s="4">
        <v>82</v>
      </c>
      <c r="J16" t="str">
        <f>VLOOKUP(D16,Table41015[[DeptCode]:[DeptName]],2,FALSE)</f>
        <v>Information Technology</v>
      </c>
      <c r="K16" s="4" t="str">
        <f>_xlfn.XLOOKUP(D16,Table41015[DeptCode],Table41015[Manager],"Not assigned",0)</f>
        <v>Meera Iyer</v>
      </c>
      <c r="R16" s="21" t="s">
        <v>154</v>
      </c>
      <c r="S16" s="19">
        <f ca="1">NOW()</f>
        <v>45972.803372337963</v>
      </c>
      <c r="T16" s="19" t="s">
        <v>160</v>
      </c>
      <c r="U16" t="s">
        <v>161</v>
      </c>
      <c r="V16" t="s">
        <v>162</v>
      </c>
      <c r="W16" t="s">
        <v>163</v>
      </c>
    </row>
    <row r="17" spans="1:16" x14ac:dyDescent="0.3">
      <c r="A17" s="4" t="s">
        <v>76</v>
      </c>
      <c r="B17" s="4" t="s">
        <v>31</v>
      </c>
      <c r="C17" s="4" t="s">
        <v>77</v>
      </c>
      <c r="D17" s="4" t="s">
        <v>5</v>
      </c>
      <c r="E17" s="4" t="s">
        <v>78</v>
      </c>
      <c r="F17" s="4" t="s">
        <v>79</v>
      </c>
      <c r="G17" s="8">
        <v>45900</v>
      </c>
      <c r="H17" s="4">
        <v>53000</v>
      </c>
      <c r="I17" s="4">
        <v>88</v>
      </c>
      <c r="J17" t="str">
        <f>VLOOKUP(D17,Table41015[[DeptCode]:[DeptName]],2,FALSE)</f>
        <v>Sales</v>
      </c>
      <c r="K17" s="4" t="str">
        <f>_xlfn.XLOOKUP(D17,Table41015[DeptCode],Table41015[Manager],"Not assigned",0)</f>
        <v>Anita Verma</v>
      </c>
    </row>
    <row r="18" spans="1:16" x14ac:dyDescent="0.3">
      <c r="A18" s="4" t="s">
        <v>80</v>
      </c>
      <c r="B18" s="4" t="s">
        <v>36</v>
      </c>
      <c r="C18" s="4" t="s">
        <v>81</v>
      </c>
      <c r="D18" s="4" t="s">
        <v>9</v>
      </c>
      <c r="E18" s="4" t="s">
        <v>82</v>
      </c>
      <c r="F18" s="4" t="s">
        <v>83</v>
      </c>
      <c r="G18" s="8">
        <v>45901</v>
      </c>
      <c r="H18" s="4">
        <v>47000</v>
      </c>
      <c r="I18" s="4">
        <v>77</v>
      </c>
      <c r="J18" t="str">
        <f>VLOOKUP(D18,Table41015[[DeptCode]:[DeptName]],2,FALSE)</f>
        <v>Human Resources</v>
      </c>
      <c r="K18" s="4" t="str">
        <f>_xlfn.XLOOKUP(D18,Table41015[DeptCode],Table41015[Manager],"Not assigned",0)</f>
        <v>Vijay Rao</v>
      </c>
    </row>
    <row r="19" spans="1:16" x14ac:dyDescent="0.3">
      <c r="A19" s="4" t="s">
        <v>84</v>
      </c>
      <c r="B19" s="4" t="s">
        <v>50</v>
      </c>
      <c r="C19" s="4" t="s">
        <v>85</v>
      </c>
      <c r="D19" s="4" t="s">
        <v>26</v>
      </c>
      <c r="E19" s="4" t="s">
        <v>86</v>
      </c>
      <c r="F19" s="4" t="s">
        <v>87</v>
      </c>
      <c r="G19" s="8">
        <v>45902</v>
      </c>
      <c r="H19" s="4">
        <v>78000</v>
      </c>
      <c r="I19" s="4">
        <v>91</v>
      </c>
      <c r="J19" t="str">
        <f>VLOOKUP(D19,Table41015[[DeptCode]:[DeptName]],2,FALSE)</f>
        <v>Finance</v>
      </c>
      <c r="K19" s="4" t="str">
        <f>_xlfn.XLOOKUP(D19,Table41015[DeptCode],Table41015[Manager],"Not assigned",0)</f>
        <v>Arun Sharma</v>
      </c>
    </row>
    <row r="20" spans="1:16" x14ac:dyDescent="0.3">
      <c r="A20" s="4" t="s">
        <v>88</v>
      </c>
      <c r="B20" s="4" t="s">
        <v>41</v>
      </c>
      <c r="C20" s="4" t="s">
        <v>89</v>
      </c>
      <c r="D20" s="4" t="s">
        <v>13</v>
      </c>
      <c r="E20" s="4" t="s">
        <v>90</v>
      </c>
      <c r="F20" s="4" t="s">
        <v>91</v>
      </c>
      <c r="G20" s="8">
        <v>45903</v>
      </c>
      <c r="H20" s="4">
        <v>61000</v>
      </c>
      <c r="I20" s="4">
        <v>84</v>
      </c>
      <c r="J20" t="str">
        <f>VLOOKUP(D20,Table41015[[DeptCode]:[DeptName]],2,FALSE)</f>
        <v>Information Technology</v>
      </c>
      <c r="K20" s="4" t="str">
        <f>_xlfn.XLOOKUP(D20,Table41015[DeptCode],Table41015[Manager],"Not assigned",0)</f>
        <v>Meera Iyer</v>
      </c>
      <c r="L20" s="4" t="s">
        <v>92</v>
      </c>
      <c r="M20" s="4" t="s">
        <v>93</v>
      </c>
      <c r="N20" s="4" t="s">
        <v>94</v>
      </c>
      <c r="O20" s="4" t="s">
        <v>95</v>
      </c>
      <c r="P20" s="4" t="s">
        <v>96</v>
      </c>
    </row>
    <row r="21" spans="1:16" x14ac:dyDescent="0.3">
      <c r="A21" s="4" t="s">
        <v>97</v>
      </c>
      <c r="B21" s="4" t="s">
        <v>60</v>
      </c>
      <c r="C21" s="4" t="s">
        <v>98</v>
      </c>
      <c r="D21" s="4" t="s">
        <v>5</v>
      </c>
      <c r="E21" s="4" t="s">
        <v>99</v>
      </c>
      <c r="F21" s="4" t="s">
        <v>100</v>
      </c>
      <c r="G21" s="8">
        <v>45904</v>
      </c>
      <c r="H21" s="4">
        <v>54000</v>
      </c>
      <c r="I21" s="4">
        <v>87</v>
      </c>
      <c r="J21" t="str">
        <f>VLOOKUP(D21,Table41015[[DeptCode]:[DeptName]],2,FALSE)</f>
        <v>Sales</v>
      </c>
      <c r="K21" s="4" t="str">
        <f>_xlfn.XLOOKUP(D21,Table41015[DeptCode],Table41015[Manager],"Not assigned",0)</f>
        <v>Anita Verma</v>
      </c>
      <c r="L21" s="4" t="s">
        <v>101</v>
      </c>
      <c r="M21" s="4">
        <v>0.12</v>
      </c>
      <c r="N21" s="4">
        <v>0.08</v>
      </c>
      <c r="O21" s="4">
        <v>0.05</v>
      </c>
      <c r="P21" s="4">
        <v>0.02</v>
      </c>
    </row>
    <row r="22" spans="1:16" x14ac:dyDescent="0.3">
      <c r="A22" s="4" t="s">
        <v>102</v>
      </c>
      <c r="B22" s="4" t="s">
        <v>50</v>
      </c>
      <c r="C22" s="4" t="s">
        <v>103</v>
      </c>
      <c r="D22" s="4" t="s">
        <v>26</v>
      </c>
      <c r="E22" s="4" t="s">
        <v>104</v>
      </c>
      <c r="F22" s="4" t="s">
        <v>105</v>
      </c>
      <c r="G22" s="8">
        <v>45905</v>
      </c>
      <c r="H22" s="4">
        <v>71000</v>
      </c>
      <c r="I22" s="4">
        <v>89</v>
      </c>
      <c r="J22" t="str">
        <f>VLOOKUP(D22,Table41015[[DeptCode]:[DeptName]],2,FALSE)</f>
        <v>Finance</v>
      </c>
      <c r="K22" s="4" t="str">
        <f>_xlfn.XLOOKUP(D22,Table41015[DeptCode],Table41015[Manager],"Not assigned",0)</f>
        <v>Arun Sharma</v>
      </c>
    </row>
    <row r="23" spans="1:16" x14ac:dyDescent="0.3">
      <c r="A23" s="4" t="s">
        <v>106</v>
      </c>
      <c r="B23" s="4" t="s">
        <v>36</v>
      </c>
      <c r="C23" s="4" t="s">
        <v>107</v>
      </c>
      <c r="D23" s="4" t="s">
        <v>9</v>
      </c>
      <c r="E23" s="4" t="s">
        <v>108</v>
      </c>
      <c r="F23" s="4" t="s">
        <v>109</v>
      </c>
      <c r="G23" s="8">
        <v>45906</v>
      </c>
      <c r="H23" s="4">
        <v>49000</v>
      </c>
      <c r="I23" s="4">
        <v>80</v>
      </c>
      <c r="J23" t="str">
        <f>VLOOKUP(D23,Table41015[[DeptCode]:[DeptName]],2,FALSE)</f>
        <v>Human Resources</v>
      </c>
      <c r="K23" s="4" t="str">
        <f>_xlfn.XLOOKUP(D23,Table41015[DeptCode],Table41015[Manager],"Not assigned",0)</f>
        <v>Vijay Rao</v>
      </c>
    </row>
    <row r="24" spans="1:16" ht="14.4" customHeight="1" x14ac:dyDescent="0.3">
      <c r="A24" s="4" t="s">
        <v>110</v>
      </c>
      <c r="B24" s="4" t="s">
        <v>55</v>
      </c>
      <c r="C24" s="4" t="s">
        <v>111</v>
      </c>
      <c r="D24" s="4" t="s">
        <v>13</v>
      </c>
      <c r="E24" s="4" t="s">
        <v>112</v>
      </c>
      <c r="F24" s="4" t="s">
        <v>113</v>
      </c>
      <c r="G24" s="8">
        <v>45907</v>
      </c>
      <c r="H24" s="4">
        <v>64000</v>
      </c>
      <c r="I24" s="4">
        <v>93</v>
      </c>
      <c r="J24" t="str">
        <f>VLOOKUP(D24,Table41015[[DeptCode]:[DeptName]],2,FALSE)</f>
        <v>Information Technology</v>
      </c>
      <c r="K24" s="4" t="str">
        <f>_xlfn.XLOOKUP(D24,Table41015[DeptCode],Table41015[Manager],"Not assigned",0)</f>
        <v>Meera Iyer</v>
      </c>
      <c r="L24" s="23" t="s">
        <v>114</v>
      </c>
      <c r="M24" s="23"/>
      <c r="N24" s="23"/>
    </row>
    <row r="25" spans="1:16" ht="33.6" customHeight="1" x14ac:dyDescent="0.3">
      <c r="A25" s="4" t="s">
        <v>115</v>
      </c>
      <c r="B25" s="4" t="s">
        <v>31</v>
      </c>
      <c r="C25" s="4" t="s">
        <v>116</v>
      </c>
      <c r="D25" s="4" t="s">
        <v>5</v>
      </c>
      <c r="E25" s="4" t="s">
        <v>117</v>
      </c>
      <c r="F25" s="4" t="s">
        <v>118</v>
      </c>
      <c r="G25" s="8">
        <v>45908</v>
      </c>
      <c r="H25" s="4">
        <v>56000</v>
      </c>
      <c r="I25" s="4">
        <v>84</v>
      </c>
      <c r="J25" t="str">
        <f>VLOOKUP(D25,Table41015[[DeptCode]:[DeptName]],2,FALSE)</f>
        <v>Sales</v>
      </c>
      <c r="K25" s="4" t="str">
        <f>_xlfn.XLOOKUP(D25,Table41015[DeptCode],Table41015[Manager],"Not assigned",0)</f>
        <v>Anita Verma</v>
      </c>
      <c r="L25" s="23"/>
      <c r="M25" s="23"/>
      <c r="N25" s="23"/>
    </row>
    <row r="26" spans="1:16" ht="14.4" customHeight="1" x14ac:dyDescent="0.3">
      <c r="A26" s="4" t="s">
        <v>119</v>
      </c>
      <c r="B26" s="4" t="s">
        <v>50</v>
      </c>
      <c r="C26" s="4" t="s">
        <v>120</v>
      </c>
      <c r="D26" s="4" t="s">
        <v>26</v>
      </c>
      <c r="E26" s="4" t="s">
        <v>121</v>
      </c>
      <c r="F26" s="4" t="s">
        <v>122</v>
      </c>
      <c r="G26" s="8">
        <v>45909</v>
      </c>
      <c r="H26" s="4">
        <v>73000</v>
      </c>
      <c r="I26" s="4">
        <v>90</v>
      </c>
      <c r="J26" t="str">
        <f>VLOOKUP(D26,Table41015[[DeptCode]:[DeptName]],2,FALSE)</f>
        <v>Finance</v>
      </c>
      <c r="K26" s="4" t="str">
        <f>_xlfn.XLOOKUP(D26,Table41015[DeptCode],Table41015[Manager],"Not assigned",0)</f>
        <v>Arun Sharma</v>
      </c>
      <c r="L26" s="17"/>
      <c r="M26" s="17"/>
      <c r="N26" s="17"/>
    </row>
    <row r="29" spans="1:16" x14ac:dyDescent="0.3">
      <c r="F29" s="7"/>
      <c r="G29" s="1"/>
      <c r="H29" s="1"/>
      <c r="L29" s="1" t="s">
        <v>123</v>
      </c>
      <c r="M29" s="1" t="s">
        <v>124</v>
      </c>
      <c r="N29" s="9" t="s">
        <v>125</v>
      </c>
    </row>
    <row r="30" spans="1:16" x14ac:dyDescent="0.3">
      <c r="F30" s="8"/>
      <c r="G30" s="4"/>
      <c r="L30" s="4">
        <v>0</v>
      </c>
      <c r="M30" s="4" t="s">
        <v>96</v>
      </c>
      <c r="N30">
        <f>HLOOKUP(Table1712[[#This Row],[Grade]],Table2813[[#All],[A]:[D]],2,FALSE)</f>
        <v>0.02</v>
      </c>
    </row>
    <row r="31" spans="1:16" x14ac:dyDescent="0.3">
      <c r="F31" s="8"/>
      <c r="G31" s="4"/>
      <c r="L31" s="4">
        <v>75</v>
      </c>
      <c r="M31" s="4" t="s">
        <v>95</v>
      </c>
      <c r="N31">
        <f>HLOOKUP(Table1712[[#This Row],[Grade]],Table2813[[#All],[A]:[D]],2,FALSE)</f>
        <v>0.05</v>
      </c>
    </row>
    <row r="32" spans="1:16" ht="23.4" x14ac:dyDescent="0.45">
      <c r="C32" s="22" t="s">
        <v>126</v>
      </c>
      <c r="D32" s="22"/>
      <c r="E32" s="22"/>
      <c r="F32" s="8"/>
      <c r="G32" s="4"/>
      <c r="L32" s="4">
        <v>85</v>
      </c>
      <c r="M32" s="4" t="s">
        <v>94</v>
      </c>
      <c r="N32">
        <f>HLOOKUP(Table1712[[#This Row],[Grade]],Table2813[[#All],[A]:[D]],2,FALSE)</f>
        <v>0.08</v>
      </c>
    </row>
    <row r="33" spans="3:21" x14ac:dyDescent="0.3">
      <c r="F33" s="8"/>
      <c r="G33" s="4"/>
      <c r="L33" s="4">
        <v>92</v>
      </c>
      <c r="M33" s="4" t="s">
        <v>93</v>
      </c>
      <c r="N33">
        <f>HLOOKUP(Table1712[[#This Row],[Grade]],Table2813[[#All],[A]:[D]],2,FALSE)</f>
        <v>0.12</v>
      </c>
    </row>
    <row r="34" spans="3:21" x14ac:dyDescent="0.3">
      <c r="C34" s="6" t="s">
        <v>127</v>
      </c>
      <c r="D34" s="2"/>
      <c r="E34" s="2">
        <f ca="1">TODAY()</f>
        <v>45972</v>
      </c>
      <c r="F34" s="8"/>
      <c r="G34" s="4"/>
    </row>
    <row r="35" spans="3:21" x14ac:dyDescent="0.3">
      <c r="C35" s="6"/>
      <c r="D35"/>
      <c r="E35" s="19">
        <f ca="1">NOW()</f>
        <v>45972.803372337963</v>
      </c>
      <c r="F35" s="8"/>
      <c r="G35" s="4"/>
    </row>
    <row r="36" spans="3:21" x14ac:dyDescent="0.3">
      <c r="C36" s="6" t="s">
        <v>128</v>
      </c>
      <c r="D36" s="3"/>
      <c r="E36"/>
    </row>
    <row r="37" spans="3:21" ht="162" customHeight="1" x14ac:dyDescent="0.3">
      <c r="C37" s="6" t="s">
        <v>129</v>
      </c>
      <c r="D37"/>
      <c r="E37">
        <f ca="1">YEAR(E34)</f>
        <v>2025</v>
      </c>
      <c r="L37" s="24" t="s">
        <v>130</v>
      </c>
      <c r="M37" s="25"/>
      <c r="N37" s="25"/>
      <c r="O37" s="12" t="s">
        <v>131</v>
      </c>
    </row>
    <row r="38" spans="3:21" ht="15" customHeight="1" x14ac:dyDescent="0.3">
      <c r="C38" s="6" t="s">
        <v>132</v>
      </c>
      <c r="D38"/>
      <c r="E38">
        <f ca="1">MONTH(E34)</f>
        <v>11</v>
      </c>
      <c r="L38" s="17"/>
      <c r="M38" s="17"/>
      <c r="N38" s="17"/>
      <c r="O38" s="5"/>
    </row>
    <row r="39" spans="3:21" ht="15" customHeight="1" x14ac:dyDescent="0.3">
      <c r="C39" s="6" t="s">
        <v>133</v>
      </c>
      <c r="D39"/>
      <c r="E39">
        <f ca="1">DAY(E34)</f>
        <v>11</v>
      </c>
      <c r="O39" s="5"/>
    </row>
    <row r="40" spans="3:21" ht="15" customHeight="1" x14ac:dyDescent="0.3">
      <c r="C40" s="6" t="s">
        <v>134</v>
      </c>
      <c r="D40"/>
      <c r="E40" s="4">
        <f ca="1">WEEKDAY(E34)</f>
        <v>3</v>
      </c>
      <c r="F40" s="26" t="s">
        <v>135</v>
      </c>
      <c r="G40" s="26"/>
      <c r="O40" s="5"/>
      <c r="U40" s="5"/>
    </row>
    <row r="41" spans="3:21" ht="15" customHeight="1" x14ac:dyDescent="0.3">
      <c r="C41" s="6" t="s">
        <v>136</v>
      </c>
      <c r="D41" s="5"/>
      <c r="E41" t="str">
        <f ca="1">CHOOSE(WEEKDAY(E34),"mon","tue","wed","thur","fri","sat","sun")</f>
        <v>wed</v>
      </c>
      <c r="L41" s="7" t="s">
        <v>18</v>
      </c>
      <c r="M41" s="1" t="s">
        <v>137</v>
      </c>
      <c r="N41" s="1" t="s">
        <v>138</v>
      </c>
      <c r="Q41" s="5"/>
    </row>
    <row r="42" spans="3:21" ht="15" customHeight="1" x14ac:dyDescent="0.3">
      <c r="C42" s="6" t="s">
        <v>139</v>
      </c>
      <c r="D42"/>
      <c r="E42">
        <f ca="1">DATEDIF(E8,TODAY(),"Y")</f>
        <v>7</v>
      </c>
      <c r="J42" t="str">
        <f>INDEX(A7:C10,2,3)</f>
        <v>Anna Lee</v>
      </c>
      <c r="L42" s="8" t="s">
        <v>31</v>
      </c>
      <c r="M42" s="4" t="s">
        <v>140</v>
      </c>
      <c r="N42" s="4">
        <v>1200</v>
      </c>
    </row>
    <row r="43" spans="3:21" ht="15" customHeight="1" x14ac:dyDescent="0.3">
      <c r="C43" s="6" t="s">
        <v>141</v>
      </c>
      <c r="D43"/>
      <c r="E43">
        <f ca="1">DATEDIF(E8,TODAY(),"yM")</f>
        <v>7</v>
      </c>
      <c r="L43" s="8" t="s">
        <v>36</v>
      </c>
      <c r="M43" s="4" t="s">
        <v>142</v>
      </c>
      <c r="N43" s="4">
        <v>900</v>
      </c>
    </row>
    <row r="44" spans="3:21" ht="15" customHeight="1" x14ac:dyDescent="0.3">
      <c r="C44" s="6" t="s">
        <v>143</v>
      </c>
      <c r="D44"/>
      <c r="E44">
        <f ca="1">DATEDIF(F2,TODAY(),"Y")</f>
        <v>125</v>
      </c>
      <c r="L44" s="8" t="s">
        <v>41</v>
      </c>
      <c r="M44" s="4" t="s">
        <v>144</v>
      </c>
      <c r="N44" s="4">
        <v>1500</v>
      </c>
    </row>
    <row r="45" spans="3:21" ht="15" customHeight="1" x14ac:dyDescent="0.3">
      <c r="C45"/>
      <c r="D45"/>
      <c r="E45"/>
      <c r="L45" s="8" t="s">
        <v>50</v>
      </c>
      <c r="M45" s="4" t="s">
        <v>145</v>
      </c>
      <c r="N45" s="4">
        <v>2000</v>
      </c>
    </row>
    <row r="46" spans="3:21" ht="15" customHeight="1" x14ac:dyDescent="0.3">
      <c r="L46" s="8" t="s">
        <v>55</v>
      </c>
      <c r="M46" s="4" t="s">
        <v>146</v>
      </c>
      <c r="N46" s="4">
        <v>1100</v>
      </c>
    </row>
    <row r="47" spans="3:21" ht="25.2" customHeight="1" x14ac:dyDescent="0.3">
      <c r="L47" s="8" t="s">
        <v>60</v>
      </c>
      <c r="M47" s="4" t="s">
        <v>147</v>
      </c>
      <c r="N47" s="4">
        <v>800</v>
      </c>
    </row>
    <row r="48" spans="3:21" ht="40.950000000000003" customHeight="1" x14ac:dyDescent="0.3"/>
    <row r="49" spans="3:16" ht="15" customHeight="1" x14ac:dyDescent="0.3">
      <c r="M49" s="6" t="s">
        <v>148</v>
      </c>
      <c r="N49">
        <f>MATCH("P100",Table3914[SKU],0)</f>
        <v>1</v>
      </c>
    </row>
    <row r="50" spans="3:16" ht="39.75" customHeight="1" x14ac:dyDescent="0.3">
      <c r="L50" s="13"/>
      <c r="M50" s="16" t="s">
        <v>149</v>
      </c>
      <c r="N50" s="13">
        <f>INDEX(Table3914[[SKU]:[UnitPrice]],4,3)</f>
        <v>2000</v>
      </c>
      <c r="O50" s="13"/>
    </row>
    <row r="51" spans="3:16" ht="15" customHeight="1" x14ac:dyDescent="0.3">
      <c r="L51" s="14"/>
      <c r="M51" s="18" t="s">
        <v>150</v>
      </c>
      <c r="N51" s="15" t="str" cm="1">
        <f t="array" ref="N51:P51">INDEX(Table3914[[SKU]:[UnitPrice]],MATCH("P103",Table3914[SKU],0),0)</f>
        <v>P103</v>
      </c>
      <c r="O51" s="15" t="str">
        <v>Financial Suite</v>
      </c>
      <c r="P51">
        <v>2000</v>
      </c>
    </row>
    <row r="52" spans="3:16" ht="15" customHeight="1" x14ac:dyDescent="0.3">
      <c r="M52" s="18"/>
    </row>
    <row r="55" spans="3:16" ht="232.2" customHeight="1" x14ac:dyDescent="0.3">
      <c r="M55" s="5" t="s">
        <v>151</v>
      </c>
    </row>
    <row r="62" spans="3:16" ht="15" customHeight="1" x14ac:dyDescent="0.3">
      <c r="C62"/>
      <c r="D62"/>
      <c r="E62"/>
    </row>
    <row r="63" spans="3:16" ht="15" customHeight="1" x14ac:dyDescent="0.3">
      <c r="C63"/>
      <c r="D63"/>
      <c r="E63"/>
    </row>
    <row r="64" spans="3:16" ht="15" customHeight="1" x14ac:dyDescent="0.3">
      <c r="C64"/>
      <c r="D64"/>
      <c r="E64"/>
    </row>
  </sheetData>
  <mergeCells count="4">
    <mergeCell ref="L24:N25"/>
    <mergeCell ref="C32:E32"/>
    <mergeCell ref="L37:N37"/>
    <mergeCell ref="F40:G40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7BB5C-02EC-4977-8775-BE935DD0D866}">
  <dimension ref="A1"/>
  <sheetViews>
    <sheetView workbookViewId="0">
      <selection activeCell="B1" sqref="B1"/>
    </sheetView>
  </sheetViews>
  <sheetFormatPr defaultRowHeight="14.4" x14ac:dyDescent="0.3"/>
  <sheetData>
    <row r="1" spans="1:1" x14ac:dyDescent="0.3">
      <c r="A1" s="27" t="e">
        <f>VLOOKUP($B$2,$B$2:$D$27,2,FALSE)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Dataset-11-11-2025</vt:lpstr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Priya Kannan</cp:lastModifiedBy>
  <cp:revision/>
  <dcterms:created xsi:type="dcterms:W3CDTF">2025-08-23T10:14:07Z</dcterms:created>
  <dcterms:modified xsi:type="dcterms:W3CDTF">2025-11-11T13:46:57Z</dcterms:modified>
  <cp:category/>
  <cp:contentStatus/>
</cp:coreProperties>
</file>