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82" documentId="11_1C7413A03C55C9D6C729A121CD02E8CB7FE62493" xr6:coauthVersionLast="47" xr6:coauthVersionMax="47" xr10:uidLastSave="{10BEBCF5-A453-4E69-8A5D-52FA6FB632FC}"/>
  <bookViews>
    <workbookView xWindow="-108" yWindow="-108" windowWidth="23256" windowHeight="12456" activeTab="1" xr2:uid="{00000000-000D-0000-FFFF-FFFF00000000}"/>
  </bookViews>
  <sheets>
    <sheet name="Dataset" sheetId="2" r:id="rId1"/>
    <sheet name="Dataset-1" sheetId="3" r:id="rId2"/>
    <sheet name="Instruction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23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4" i="3"/>
  <c r="F25" i="3"/>
  <c r="F26" i="3"/>
  <c r="F27" i="3"/>
  <c r="F28" i="3"/>
  <c r="F29" i="3"/>
  <c r="F30" i="3"/>
  <c r="F31" i="3"/>
  <c r="F32" i="3"/>
  <c r="F33" i="3"/>
  <c r="F34" i="3"/>
  <c r="F35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G21" i="3"/>
  <c r="G7" i="3"/>
  <c r="G27" i="3"/>
</calcChain>
</file>

<file path=xl/sharedStrings.xml><?xml version="1.0" encoding="utf-8"?>
<sst xmlns="http://schemas.openxmlformats.org/spreadsheetml/2006/main" count="302" uniqueCount="120">
  <si>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</si>
  <si>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</si>
  <si>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</si>
  <si>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</si>
  <si>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</si>
  <si>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</si>
  <si>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</si>
  <si>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</si>
  <si>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</si>
  <si>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</si>
  <si>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</si>
  <si>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</si>
  <si>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</si>
  <si>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</si>
  <si>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</si>
  <si>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</si>
  <si>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</si>
  <si>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</si>
  <si>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</si>
  <si>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</si>
  <si>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</si>
  <si>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</si>
  <si>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</si>
  <si>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</si>
  <si>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</si>
  <si>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</si>
  <si>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</si>
  <si>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</si>
  <si>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</si>
  <si>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</si>
  <si>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</si>
  <si>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</si>
  <si>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</si>
  <si>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</si>
  <si>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</si>
  <si>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</si>
  <si>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</si>
  <si>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</si>
  <si>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</si>
  <si>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</si>
  <si>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</si>
  <si>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</si>
  <si>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</si>
  <si>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</si>
  <si>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</si>
  <si>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</si>
  <si>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</si>
  <si>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</si>
  <si>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</si>
  <si>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</si>
  <si>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</si>
  <si>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</si>
  <si>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</si>
  <si>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</si>
  <si>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</si>
  <si>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</si>
  <si>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</si>
  <si>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</si>
  <si>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</si>
  <si>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</si>
  <si>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</si>
  <si>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</si>
  <si>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</si>
  <si>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</si>
  <si>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</si>
  <si>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</si>
  <si>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</si>
  <si>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</si>
  <si>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</si>
  <si>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</si>
  <si>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</si>
  <si>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</si>
  <si>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</si>
  <si>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</si>
  <si>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</si>
  <si>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</si>
  <si>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</si>
  <si>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</si>
  <si>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</si>
  <si>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</si>
  <si>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</si>
  <si>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</si>
  <si>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</si>
  <si>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</si>
  <si>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</si>
  <si>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</si>
  <si>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</si>
  <si>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</si>
  <si>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</si>
  <si>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</si>
  <si>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</si>
  <si>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</si>
  <si>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</si>
  <si>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</si>
  <si>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</si>
  <si>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</si>
  <si>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</si>
  <si>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</si>
  <si>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</si>
  <si>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</si>
  <si>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</si>
  <si>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</si>
  <si>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</si>
  <si>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</si>
  <si>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</si>
  <si>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</si>
  <si>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</si>
  <si>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</si>
  <si>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</si>
  <si>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</si>
  <si>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</si>
  <si>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</si>
  <si>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</si>
  <si>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</si>
  <si>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</si>
  <si>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</si>
  <si>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</si>
  <si>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Manufactory  Date</t>
  </si>
  <si>
    <t>PRODUCT BRAND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</si>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</sst>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;[Red]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2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5" fillId="0" borderId="0" xfId="0" applyNumberFormat="1" applyFont="1"/>
    <xf numFmtId="49" fontId="5" fillId="3" borderId="0" xfId="0" applyNumberFormat="1" applyFont="1" applyFill="1"/>
    <xf numFmtId="49" fontId="0" fillId="0" borderId="0" xfId="0" applyNumberFormat="1"/>
    <xf numFmtId="49" fontId="8" fillId="0" borderId="0" xfId="0" applyNumberFormat="1" applyFont="1"/>
    <xf numFmtId="168" fontId="5" fillId="0" borderId="0" xfId="0" applyNumberFormat="1" applyFont="1"/>
    <xf numFmtId="168" fontId="5" fillId="3" borderId="0" xfId="0" applyNumberFormat="1" applyFont="1" applyFill="1"/>
    <xf numFmtId="168" fontId="0" fillId="0" borderId="0" xfId="0" applyNumberFormat="1"/>
    <xf numFmtId="168" fontId="9" fillId="2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D15"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D0FF-BA4C-4845-BBF1-D0C4D491E8D4}">
  <dimension ref="A1:I35"/>
  <sheetViews>
    <sheetView tabSelected="1" topLeftCell="E6" workbookViewId="0">
      <selection activeCell="K29" sqref="A1:XFD1048576"/>
    </sheetView>
  </sheetViews>
  <sheetFormatPr defaultRowHeight="13.2" x14ac:dyDescent="0.25"/>
  <cols>
    <col min="1" max="1" width="10.77734375" bestFit="1" customWidth="1"/>
    <col min="2" max="2" width="13.6640625" style="13" bestFit="1" customWidth="1"/>
    <col min="3" max="3" width="17" bestFit="1" customWidth="1"/>
    <col min="4" max="4" width="13.6640625" customWidth="1"/>
    <col min="5" max="5" width="11.77734375" bestFit="1" customWidth="1"/>
    <col min="6" max="6" width="22.33203125" bestFit="1" customWidth="1"/>
    <col min="7" max="7" width="9.6640625" style="17" bestFit="1" customWidth="1"/>
    <col min="8" max="8" width="8.44140625" bestFit="1" customWidth="1"/>
    <col min="9" max="9" width="11" bestFit="1" customWidth="1"/>
  </cols>
  <sheetData>
    <row r="1" spans="1:9" x14ac:dyDescent="0.25">
      <c r="A1" s="7" t="s">
        <v>19</v>
      </c>
      <c r="B1" s="10" t="s">
        <v>20</v>
      </c>
      <c r="C1" s="7" t="s">
        <v>117</v>
      </c>
      <c r="D1" s="7" t="s">
        <v>116</v>
      </c>
      <c r="E1" s="7" t="s">
        <v>21</v>
      </c>
      <c r="F1" s="9" t="s">
        <v>118</v>
      </c>
      <c r="G1" s="18" t="s">
        <v>22</v>
      </c>
      <c r="H1" s="7" t="s">
        <v>23</v>
      </c>
      <c r="I1" s="7" t="s">
        <v>24</v>
      </c>
    </row>
    <row r="2" spans="1:9" x14ac:dyDescent="0.25">
      <c r="A2" s="5" t="s">
        <v>25</v>
      </c>
      <c r="B2" s="11" t="s">
        <v>26</v>
      </c>
      <c r="C2" s="5" t="str">
        <f>LEFT(A2,7)&amp;YEAR(DATE(2025,1,1))</f>
        <v>28-JAN-2025</v>
      </c>
      <c r="D2" s="5" t="str">
        <f>RIGHT(A2,2)</f>
        <v>US</v>
      </c>
      <c r="E2" s="5" t="s">
        <v>27</v>
      </c>
      <c r="F2" s="5" t="str">
        <f>_xlfn.CONCAT(B2,E2)</f>
        <v>laptopDell</v>
      </c>
      <c r="G2" s="15">
        <v>1000</v>
      </c>
      <c r="H2" s="5">
        <v>30</v>
      </c>
      <c r="I2" s="5" t="s">
        <v>28</v>
      </c>
    </row>
    <row r="3" spans="1:9" x14ac:dyDescent="0.25">
      <c r="A3" s="8" t="s">
        <v>29</v>
      </c>
      <c r="B3" s="12" t="s">
        <v>30</v>
      </c>
      <c r="C3" s="5" t="str">
        <f t="shared" ref="C3:C35" si="0">LEFT(A3,7)&amp;YEAR(DATE(2025,1,1))</f>
        <v>15-FEB-2025</v>
      </c>
      <c r="D3" s="5" t="str">
        <f t="shared" ref="D3:D35" si="1">RIGHT(A3,2)</f>
        <v>US</v>
      </c>
      <c r="E3" s="8" t="s">
        <v>31</v>
      </c>
      <c r="F3" s="5" t="str">
        <f t="shared" ref="F3:F35" si="2">_xlfn.CONCAT(B3,E3)</f>
        <v>SneakersNike</v>
      </c>
      <c r="G3" s="16">
        <v>80</v>
      </c>
      <c r="H3" s="8">
        <v>15</v>
      </c>
      <c r="I3" s="8" t="s">
        <v>32</v>
      </c>
    </row>
    <row r="4" spans="1:9" x14ac:dyDescent="0.25">
      <c r="A4" s="5" t="s">
        <v>33</v>
      </c>
      <c r="B4" s="11" t="s">
        <v>34</v>
      </c>
      <c r="C4" s="5" t="str">
        <f t="shared" si="0"/>
        <v>03-MAR-2025</v>
      </c>
      <c r="D4" s="5" t="str">
        <f t="shared" si="1"/>
        <v>US</v>
      </c>
      <c r="E4" s="5" t="s">
        <v>35</v>
      </c>
      <c r="F4" s="5" t="str">
        <f t="shared" si="2"/>
        <v>Coffee MakerKeurig</v>
      </c>
      <c r="G4" s="15">
        <v>130</v>
      </c>
      <c r="H4" s="5">
        <v>40</v>
      </c>
      <c r="I4" s="5" t="s">
        <v>36</v>
      </c>
    </row>
    <row r="5" spans="1:9" x14ac:dyDescent="0.25">
      <c r="A5" s="8" t="s">
        <v>37</v>
      </c>
      <c r="B5" s="12" t="s">
        <v>38</v>
      </c>
      <c r="C5" s="5" t="str">
        <f t="shared" si="0"/>
        <v>11-APR-2025</v>
      </c>
      <c r="D5" s="5" t="str">
        <f t="shared" si="1"/>
        <v>US</v>
      </c>
      <c r="E5" s="8" t="s">
        <v>39</v>
      </c>
      <c r="F5" s="5" t="str">
        <f t="shared" si="2"/>
        <v>smartphoneSamsung</v>
      </c>
      <c r="G5" s="16">
        <v>900</v>
      </c>
      <c r="H5" s="8">
        <v>25</v>
      </c>
      <c r="I5" s="8" t="s">
        <v>28</v>
      </c>
    </row>
    <row r="6" spans="1:9" x14ac:dyDescent="0.25">
      <c r="A6" s="5" t="s">
        <v>40</v>
      </c>
      <c r="B6" s="11" t="s">
        <v>41</v>
      </c>
      <c r="C6" s="5" t="str">
        <f t="shared" si="0"/>
        <v>22-MAY-2025</v>
      </c>
      <c r="D6" s="5" t="str">
        <f t="shared" si="1"/>
        <v>US</v>
      </c>
      <c r="E6" s="5" t="s">
        <v>42</v>
      </c>
      <c r="F6" s="5" t="str">
        <f t="shared" si="2"/>
        <v>BackpackNorth Face</v>
      </c>
      <c r="G6" s="15">
        <v>70</v>
      </c>
      <c r="H6" s="5">
        <v>20</v>
      </c>
      <c r="I6" s="8" t="s">
        <v>28</v>
      </c>
    </row>
    <row r="7" spans="1:9" x14ac:dyDescent="0.25">
      <c r="A7" s="8" t="s">
        <v>43</v>
      </c>
      <c r="B7" s="12" t="s">
        <v>44</v>
      </c>
      <c r="C7" s="5" t="str">
        <f t="shared" si="0"/>
        <v>07-JUN-2025</v>
      </c>
      <c r="D7" s="5" t="str">
        <f t="shared" si="1"/>
        <v>UK</v>
      </c>
      <c r="E7" s="8" t="s">
        <v>45</v>
      </c>
      <c r="F7" s="5" t="str">
        <f t="shared" si="2"/>
        <v>HeadphonesSony</v>
      </c>
      <c r="G7" s="16">
        <f ca="1">IF(ISBLANK(G7),0,G7)</f>
        <v>0</v>
      </c>
      <c r="H7" s="8">
        <v>45</v>
      </c>
      <c r="I7" s="8" t="s">
        <v>28</v>
      </c>
    </row>
    <row r="8" spans="1:9" x14ac:dyDescent="0.25">
      <c r="A8" s="5" t="s">
        <v>47</v>
      </c>
      <c r="B8" s="11" t="s">
        <v>48</v>
      </c>
      <c r="C8" s="5" t="str">
        <f t="shared" si="0"/>
        <v>19-JUL-2025</v>
      </c>
      <c r="D8" s="5" t="str">
        <f t="shared" si="1"/>
        <v>UK</v>
      </c>
      <c r="E8" s="5" t="s">
        <v>49</v>
      </c>
      <c r="F8" s="5" t="str">
        <f t="shared" si="2"/>
        <v>T-shirtAdidas</v>
      </c>
      <c r="G8" s="15">
        <v>30</v>
      </c>
      <c r="H8" s="5">
        <v>5</v>
      </c>
      <c r="I8" s="5" t="s">
        <v>32</v>
      </c>
    </row>
    <row r="9" spans="1:9" x14ac:dyDescent="0.25">
      <c r="A9" s="8" t="s">
        <v>50</v>
      </c>
      <c r="B9" s="12" t="s">
        <v>51</v>
      </c>
      <c r="C9" s="5" t="str">
        <f t="shared" si="0"/>
        <v>23-AUG-2025</v>
      </c>
      <c r="D9" s="5" t="str">
        <f t="shared" si="1"/>
        <v>UK</v>
      </c>
      <c r="E9" s="8" t="s">
        <v>52</v>
      </c>
      <c r="F9" s="5" t="str">
        <f t="shared" si="2"/>
        <v>BlenderNinja</v>
      </c>
      <c r="G9" s="16">
        <v>90</v>
      </c>
      <c r="H9" s="8">
        <v>35</v>
      </c>
      <c r="I9" s="8" t="s">
        <v>36</v>
      </c>
    </row>
    <row r="10" spans="1:9" x14ac:dyDescent="0.25">
      <c r="A10" s="5" t="s">
        <v>53</v>
      </c>
      <c r="B10" s="11" t="s">
        <v>54</v>
      </c>
      <c r="C10" s="5" t="str">
        <f t="shared" si="0"/>
        <v>05-SEP-2025</v>
      </c>
      <c r="D10" s="5" t="str">
        <f t="shared" si="1"/>
        <v>UK</v>
      </c>
      <c r="E10" s="5" t="s">
        <v>55</v>
      </c>
      <c r="F10" s="5" t="str">
        <f t="shared" si="2"/>
        <v>TabletApple</v>
      </c>
      <c r="G10" s="15">
        <v>500</v>
      </c>
      <c r="H10" s="5">
        <v>50</v>
      </c>
      <c r="I10" s="5" t="s">
        <v>28</v>
      </c>
    </row>
    <row r="11" spans="1:9" x14ac:dyDescent="0.25">
      <c r="A11" s="8" t="s">
        <v>56</v>
      </c>
      <c r="B11" s="12" t="s">
        <v>57</v>
      </c>
      <c r="C11" s="5" t="str">
        <f t="shared" si="0"/>
        <v>14-OCT-2025</v>
      </c>
      <c r="D11" s="5" t="str">
        <f t="shared" si="1"/>
        <v>UK</v>
      </c>
      <c r="E11" s="8" t="s">
        <v>58</v>
      </c>
      <c r="F11" s="5" t="str">
        <f t="shared" si="2"/>
        <v>Hiking BootsTimberland</v>
      </c>
      <c r="G11" s="16">
        <v>130</v>
      </c>
      <c r="H11" s="8">
        <v>10</v>
      </c>
      <c r="I11" s="8" t="s">
        <v>59</v>
      </c>
    </row>
    <row r="12" spans="1:9" x14ac:dyDescent="0.25">
      <c r="A12" s="5" t="s">
        <v>60</v>
      </c>
      <c r="B12" s="12" t="s">
        <v>67</v>
      </c>
      <c r="C12" s="5" t="str">
        <f t="shared" si="0"/>
        <v>17-JUN-2025</v>
      </c>
      <c r="D12" s="5" t="str">
        <f t="shared" si="1"/>
        <v>IN</v>
      </c>
      <c r="E12" s="5" t="s">
        <v>62</v>
      </c>
      <c r="F12" s="5" t="str">
        <f t="shared" si="2"/>
        <v>SmartwatchHP</v>
      </c>
      <c r="G12" s="15">
        <v>950</v>
      </c>
      <c r="H12" s="5">
        <v>25</v>
      </c>
      <c r="I12" s="5" t="s">
        <v>28</v>
      </c>
    </row>
    <row r="13" spans="1:9" x14ac:dyDescent="0.25">
      <c r="A13" s="8" t="s">
        <v>63</v>
      </c>
      <c r="B13" s="12" t="s">
        <v>73</v>
      </c>
      <c r="C13" s="5" t="str">
        <f t="shared" si="0"/>
        <v>25-NOV-2025</v>
      </c>
      <c r="D13" s="5" t="str">
        <f t="shared" si="1"/>
        <v>AU</v>
      </c>
      <c r="E13" s="8" t="s">
        <v>49</v>
      </c>
      <c r="F13" s="5" t="str">
        <f t="shared" si="2"/>
        <v>Laptop BagAdidas</v>
      </c>
      <c r="G13" s="16">
        <v>90</v>
      </c>
      <c r="H13" s="8">
        <v>40</v>
      </c>
      <c r="I13" s="14" t="s">
        <v>119</v>
      </c>
    </row>
    <row r="14" spans="1:9" x14ac:dyDescent="0.25">
      <c r="A14" s="5" t="s">
        <v>64</v>
      </c>
      <c r="B14" s="11" t="s">
        <v>81</v>
      </c>
      <c r="C14" s="5" t="str">
        <f t="shared" si="0"/>
        <v>08-DEC-2025</v>
      </c>
      <c r="D14" s="5" t="str">
        <f t="shared" si="1"/>
        <v>DE</v>
      </c>
      <c r="E14" s="5" t="s">
        <v>65</v>
      </c>
      <c r="F14" s="5" t="str">
        <f t="shared" si="2"/>
        <v>SunglassesNespresso</v>
      </c>
      <c r="G14" s="15">
        <v>120</v>
      </c>
      <c r="H14" s="5">
        <v>35</v>
      </c>
      <c r="I14" s="14" t="s">
        <v>119</v>
      </c>
    </row>
    <row r="15" spans="1:9" x14ac:dyDescent="0.25">
      <c r="A15" s="8" t="s">
        <v>66</v>
      </c>
      <c r="B15" s="12" t="s">
        <v>84</v>
      </c>
      <c r="C15" s="5" t="str">
        <f t="shared" si="0"/>
        <v>18-FEB-2025</v>
      </c>
      <c r="D15" s="5" t="str">
        <f t="shared" si="1"/>
        <v>CA</v>
      </c>
      <c r="E15" s="8" t="s">
        <v>68</v>
      </c>
      <c r="F15" s="5" t="str">
        <f t="shared" si="2"/>
        <v>Camping TentFitbit</v>
      </c>
      <c r="G15" s="16">
        <v>150</v>
      </c>
      <c r="H15" s="8">
        <v>15</v>
      </c>
      <c r="I15" s="8" t="s">
        <v>28</v>
      </c>
    </row>
    <row r="16" spans="1:9" x14ac:dyDescent="0.25">
      <c r="A16" s="5" t="s">
        <v>69</v>
      </c>
      <c r="B16" s="11" t="s">
        <v>87</v>
      </c>
      <c r="C16" s="5" t="str">
        <f t="shared" si="0"/>
        <v>16-APR-2025</v>
      </c>
      <c r="D16" s="5" t="str">
        <f t="shared" si="1"/>
        <v>ES</v>
      </c>
      <c r="E16" s="5" t="s">
        <v>71</v>
      </c>
      <c r="F16" s="5" t="str">
        <f t="shared" si="2"/>
        <v>CameraBose</v>
      </c>
      <c r="G16" s="15">
        <v>250</v>
      </c>
      <c r="H16" s="5">
        <v>20</v>
      </c>
      <c r="I16" s="8" t="s">
        <v>28</v>
      </c>
    </row>
    <row r="17" spans="1:9" x14ac:dyDescent="0.25">
      <c r="A17" s="8" t="s">
        <v>72</v>
      </c>
      <c r="B17" s="12" t="s">
        <v>90</v>
      </c>
      <c r="C17" s="5" t="str">
        <f t="shared" si="0"/>
        <v>21-AUG-2025</v>
      </c>
      <c r="D17" s="5" t="str">
        <f t="shared" si="1"/>
        <v>CA</v>
      </c>
      <c r="E17" s="8" t="s">
        <v>74</v>
      </c>
      <c r="F17" s="5" t="str">
        <f t="shared" si="2"/>
        <v>MicrowaveSamsonite</v>
      </c>
      <c r="G17" s="16">
        <v>50</v>
      </c>
      <c r="H17" s="8">
        <v>35</v>
      </c>
      <c r="I17" s="8" t="s">
        <v>75</v>
      </c>
    </row>
    <row r="18" spans="1:9" x14ac:dyDescent="0.25">
      <c r="A18" s="5" t="s">
        <v>76</v>
      </c>
      <c r="B18" s="11" t="s">
        <v>93</v>
      </c>
      <c r="C18" s="5" t="str">
        <f t="shared" si="0"/>
        <v>20-AUG-2025</v>
      </c>
      <c r="D18" s="5" t="str">
        <f t="shared" si="1"/>
        <v>CN</v>
      </c>
      <c r="E18" s="5" t="s">
        <v>77</v>
      </c>
      <c r="F18" s="5" t="str">
        <f t="shared" si="2"/>
        <v>Fitness TrackerHuawei</v>
      </c>
      <c r="G18" s="15">
        <v>160</v>
      </c>
      <c r="H18" s="5">
        <v>15</v>
      </c>
      <c r="I18" s="8" t="s">
        <v>28</v>
      </c>
    </row>
    <row r="19" spans="1:9" x14ac:dyDescent="0.25">
      <c r="A19" s="8" t="s">
        <v>78</v>
      </c>
      <c r="B19" s="11" t="s">
        <v>103</v>
      </c>
      <c r="C19" s="5" t="str">
        <f t="shared" si="0"/>
        <v>27-JAN-2025</v>
      </c>
      <c r="D19" s="5" t="str">
        <f t="shared" si="1"/>
        <v>IT</v>
      </c>
      <c r="E19" s="8" t="s">
        <v>79</v>
      </c>
      <c r="F19" s="5" t="str">
        <f t="shared" si="2"/>
        <v>DressAsus</v>
      </c>
      <c r="G19" s="16">
        <v>980</v>
      </c>
      <c r="H19" s="8">
        <v>10</v>
      </c>
      <c r="I19" s="8" t="s">
        <v>28</v>
      </c>
    </row>
    <row r="20" spans="1:9" x14ac:dyDescent="0.25">
      <c r="A20" s="5" t="s">
        <v>80</v>
      </c>
      <c r="B20" s="12" t="s">
        <v>106</v>
      </c>
      <c r="C20" s="5" t="str">
        <f t="shared" si="0"/>
        <v>01-MAR-2025</v>
      </c>
      <c r="D20" s="5" t="str">
        <f t="shared" si="1"/>
        <v>UK</v>
      </c>
      <c r="E20" s="5" t="s">
        <v>82</v>
      </c>
      <c r="F20" s="5" t="str">
        <f t="shared" si="2"/>
        <v>ToasterOakley</v>
      </c>
      <c r="G20" s="15">
        <v>150</v>
      </c>
      <c r="H20" s="5">
        <v>15</v>
      </c>
      <c r="I20" s="5" t="s">
        <v>32</v>
      </c>
    </row>
    <row r="21" spans="1:9" x14ac:dyDescent="0.25">
      <c r="A21" s="8" t="s">
        <v>83</v>
      </c>
      <c r="B21" s="12" t="s">
        <v>111</v>
      </c>
      <c r="C21" s="5" t="str">
        <f t="shared" si="0"/>
        <v>14-AUG-2025</v>
      </c>
      <c r="D21" s="5" t="str">
        <f t="shared" si="1"/>
        <v>US</v>
      </c>
      <c r="E21" s="8" t="s">
        <v>85</v>
      </c>
      <c r="F21" s="5" t="str">
        <f t="shared" si="2"/>
        <v>JeansColeman</v>
      </c>
      <c r="G21" s="16">
        <f ca="1">IF(ISBLANK(G21),0,G21)</f>
        <v>0</v>
      </c>
      <c r="H21" s="8">
        <v>10</v>
      </c>
      <c r="I21" s="8" t="s">
        <v>59</v>
      </c>
    </row>
    <row r="22" spans="1:9" x14ac:dyDescent="0.25">
      <c r="A22" s="5" t="s">
        <v>86</v>
      </c>
      <c r="B22" s="12" t="s">
        <v>114</v>
      </c>
      <c r="C22" s="5" t="str">
        <f t="shared" si="0"/>
        <v>14-MAY-2025</v>
      </c>
      <c r="D22" s="5" t="str">
        <f t="shared" si="1"/>
        <v>RU</v>
      </c>
      <c r="E22" s="5" t="s">
        <v>88</v>
      </c>
      <c r="F22" s="5" t="str">
        <f t="shared" si="2"/>
        <v>WatchNikon</v>
      </c>
      <c r="G22" s="15">
        <v>700</v>
      </c>
      <c r="H22" s="5">
        <v>50</v>
      </c>
      <c r="I22" s="5" t="s">
        <v>28</v>
      </c>
    </row>
    <row r="23" spans="1:9" x14ac:dyDescent="0.25">
      <c r="A23" s="8" t="s">
        <v>89</v>
      </c>
      <c r="B23" s="14" t="s">
        <v>119</v>
      </c>
      <c r="C23" s="5" t="str">
        <f t="shared" si="0"/>
        <v>09-JAN-2025</v>
      </c>
      <c r="D23" s="5" t="str">
        <f t="shared" si="1"/>
        <v>CA</v>
      </c>
      <c r="E23" s="8" t="s">
        <v>91</v>
      </c>
      <c r="F23" s="5" t="str">
        <f t="shared" si="2"/>
        <v>UNKNOWNPanasonic</v>
      </c>
      <c r="G23" s="16">
        <v>80</v>
      </c>
      <c r="H23" s="8">
        <v>20</v>
      </c>
      <c r="I23" s="8" t="s">
        <v>36</v>
      </c>
    </row>
    <row r="24" spans="1:9" x14ac:dyDescent="0.25">
      <c r="A24" s="5" t="s">
        <v>92</v>
      </c>
      <c r="B24" s="14" t="s">
        <v>119</v>
      </c>
      <c r="C24" s="5" t="str">
        <f t="shared" si="0"/>
        <v>19-JUL-2025</v>
      </c>
      <c r="D24" s="5" t="str">
        <f t="shared" si="1"/>
        <v>BR</v>
      </c>
      <c r="E24" s="5" t="s">
        <v>94</v>
      </c>
      <c r="F24" s="5" t="str">
        <f t="shared" si="2"/>
        <v>UNKNOWNXiaomi</v>
      </c>
      <c r="G24" s="15">
        <v>150</v>
      </c>
      <c r="H24" s="5">
        <v>30</v>
      </c>
      <c r="I24" s="14" t="s">
        <v>119</v>
      </c>
    </row>
    <row r="25" spans="1:9" x14ac:dyDescent="0.25">
      <c r="A25" s="8" t="s">
        <v>72</v>
      </c>
      <c r="B25" s="14" t="s">
        <v>119</v>
      </c>
      <c r="C25" s="5" t="str">
        <f t="shared" si="0"/>
        <v>21-AUG-2025</v>
      </c>
      <c r="D25" s="5" t="str">
        <f t="shared" si="1"/>
        <v>CA</v>
      </c>
      <c r="E25" s="8" t="s">
        <v>74</v>
      </c>
      <c r="F25" s="5" t="str">
        <f t="shared" si="2"/>
        <v>UNKNOWNSamsonite</v>
      </c>
      <c r="G25" s="16">
        <v>50</v>
      </c>
      <c r="H25" s="8">
        <v>35</v>
      </c>
      <c r="I25" s="8" t="s">
        <v>75</v>
      </c>
    </row>
    <row r="26" spans="1:9" x14ac:dyDescent="0.25">
      <c r="A26" s="5" t="s">
        <v>95</v>
      </c>
      <c r="B26" s="14" t="s">
        <v>119</v>
      </c>
      <c r="C26" s="5" t="str">
        <f t="shared" si="0"/>
        <v>29-SEP-2025</v>
      </c>
      <c r="D26" s="5" t="str">
        <f t="shared" si="1"/>
        <v>CA</v>
      </c>
      <c r="E26" s="5" t="s">
        <v>97</v>
      </c>
      <c r="F26" s="5" t="str">
        <f t="shared" si="2"/>
        <v>UNKNOWNGoogle</v>
      </c>
      <c r="G26" s="15">
        <v>800</v>
      </c>
      <c r="H26" s="5">
        <v>45</v>
      </c>
      <c r="I26" s="5" t="s">
        <v>28</v>
      </c>
    </row>
    <row r="27" spans="1:9" x14ac:dyDescent="0.25">
      <c r="A27" s="8" t="s">
        <v>98</v>
      </c>
      <c r="B27" s="14" t="s">
        <v>119</v>
      </c>
      <c r="C27" s="5" t="str">
        <f t="shared" si="0"/>
        <v>03-JUN-2025</v>
      </c>
      <c r="D27" s="5" t="str">
        <f t="shared" si="1"/>
        <v>CA</v>
      </c>
      <c r="E27" s="8" t="s">
        <v>99</v>
      </c>
      <c r="F27" s="5" t="str">
        <f t="shared" si="2"/>
        <v>UNKNOWNRay-Ban</v>
      </c>
      <c r="G27" s="16">
        <f ca="1">IF(ISBLANK(G27),0,G27)</f>
        <v>0</v>
      </c>
      <c r="H27" s="8">
        <v>25</v>
      </c>
      <c r="I27" s="8" t="s">
        <v>32</v>
      </c>
    </row>
    <row r="28" spans="1:9" x14ac:dyDescent="0.25">
      <c r="A28" s="5" t="s">
        <v>100</v>
      </c>
      <c r="B28" s="14" t="s">
        <v>119</v>
      </c>
      <c r="C28" s="5" t="str">
        <f t="shared" si="0"/>
        <v>11-JUL-2025</v>
      </c>
      <c r="D28" s="5" t="str">
        <f t="shared" si="1"/>
        <v>CA</v>
      </c>
      <c r="E28" s="5" t="s">
        <v>101</v>
      </c>
      <c r="F28" s="5" t="str">
        <f t="shared" si="2"/>
        <v>UNKNOWNVitamix</v>
      </c>
      <c r="G28" s="15">
        <v>400</v>
      </c>
      <c r="H28" s="5">
        <v>40</v>
      </c>
      <c r="I28" s="5" t="s">
        <v>36</v>
      </c>
    </row>
    <row r="29" spans="1:9" x14ac:dyDescent="0.25">
      <c r="A29" s="8" t="s">
        <v>69</v>
      </c>
      <c r="B29" s="14" t="s">
        <v>119</v>
      </c>
      <c r="C29" s="5" t="str">
        <f t="shared" si="0"/>
        <v>16-APR-2025</v>
      </c>
      <c r="D29" s="5" t="str">
        <f t="shared" si="1"/>
        <v>ES</v>
      </c>
      <c r="E29" s="8" t="s">
        <v>71</v>
      </c>
      <c r="F29" s="5" t="str">
        <f t="shared" si="2"/>
        <v>UNKNOWNBose</v>
      </c>
      <c r="G29" s="16">
        <v>250</v>
      </c>
      <c r="H29" s="8">
        <v>20</v>
      </c>
      <c r="I29" s="8" t="s">
        <v>28</v>
      </c>
    </row>
    <row r="30" spans="1:9" x14ac:dyDescent="0.25">
      <c r="A30" s="5" t="s">
        <v>102</v>
      </c>
      <c r="B30" s="14" t="s">
        <v>119</v>
      </c>
      <c r="C30" s="5" t="str">
        <f t="shared" si="0"/>
        <v>07-MAR-2025</v>
      </c>
      <c r="D30" s="5" t="str">
        <f t="shared" si="1"/>
        <v>CA</v>
      </c>
      <c r="E30" s="5" t="s">
        <v>104</v>
      </c>
      <c r="F30" s="5" t="str">
        <f t="shared" si="2"/>
        <v>UNKNOWNZara</v>
      </c>
      <c r="G30" s="15">
        <v>60</v>
      </c>
      <c r="H30" s="5">
        <v>30</v>
      </c>
      <c r="I30" s="5" t="s">
        <v>32</v>
      </c>
    </row>
    <row r="31" spans="1:9" x14ac:dyDescent="0.25">
      <c r="A31" s="8" t="s">
        <v>105</v>
      </c>
      <c r="B31" s="14" t="s">
        <v>119</v>
      </c>
      <c r="C31" s="5" t="str">
        <f t="shared" si="0"/>
        <v>13-APR-2025</v>
      </c>
      <c r="D31" s="5" t="str">
        <f t="shared" si="1"/>
        <v>CA</v>
      </c>
      <c r="E31" s="8" t="s">
        <v>107</v>
      </c>
      <c r="F31" s="5" t="str">
        <f t="shared" si="2"/>
        <v>UNKNOWNHamilton</v>
      </c>
      <c r="G31" s="16">
        <v>40</v>
      </c>
      <c r="H31" s="8">
        <v>10</v>
      </c>
      <c r="I31" s="8" t="s">
        <v>36</v>
      </c>
    </row>
    <row r="32" spans="1:9" x14ac:dyDescent="0.25">
      <c r="A32" s="5" t="s">
        <v>108</v>
      </c>
      <c r="B32" s="14" t="s">
        <v>119</v>
      </c>
      <c r="C32" s="5" t="str">
        <f t="shared" si="0"/>
        <v>24-MAY-2025</v>
      </c>
      <c r="D32" s="5" t="str">
        <f t="shared" si="1"/>
        <v>CA</v>
      </c>
      <c r="E32" s="5" t="s">
        <v>109</v>
      </c>
      <c r="F32" s="5" t="str">
        <f t="shared" si="2"/>
        <v>UNKNOWNGarmin</v>
      </c>
      <c r="G32" s="15">
        <v>130</v>
      </c>
      <c r="H32" s="5">
        <v>5</v>
      </c>
      <c r="I32" s="5" t="s">
        <v>28</v>
      </c>
    </row>
    <row r="33" spans="1:9" x14ac:dyDescent="0.25">
      <c r="A33" s="8" t="s">
        <v>110</v>
      </c>
      <c r="B33" s="14" t="s">
        <v>119</v>
      </c>
      <c r="C33" s="5" t="str">
        <f t="shared" si="0"/>
        <v>02-DEC-2025</v>
      </c>
      <c r="D33" s="5" t="str">
        <f t="shared" si="1"/>
        <v>CA</v>
      </c>
      <c r="E33" s="8" t="s">
        <v>112</v>
      </c>
      <c r="F33" s="5" t="str">
        <f t="shared" si="2"/>
        <v>UNKNOWNLevi's</v>
      </c>
      <c r="G33" s="16">
        <v>50</v>
      </c>
      <c r="H33" s="8">
        <v>50</v>
      </c>
      <c r="I33" s="8" t="s">
        <v>32</v>
      </c>
    </row>
    <row r="34" spans="1:9" x14ac:dyDescent="0.25">
      <c r="A34" s="5" t="s">
        <v>60</v>
      </c>
      <c r="B34" s="14" t="s">
        <v>119</v>
      </c>
      <c r="C34" s="5" t="str">
        <f t="shared" si="0"/>
        <v>17-JUN-2025</v>
      </c>
      <c r="D34" s="5" t="str">
        <f t="shared" si="1"/>
        <v>IN</v>
      </c>
      <c r="E34" s="5" t="s">
        <v>62</v>
      </c>
      <c r="F34" s="5" t="str">
        <f t="shared" si="2"/>
        <v>UNKNOWNHP</v>
      </c>
      <c r="G34" s="15">
        <v>950</v>
      </c>
      <c r="H34" s="5">
        <v>25</v>
      </c>
      <c r="I34" s="5" t="s">
        <v>28</v>
      </c>
    </row>
    <row r="35" spans="1:9" x14ac:dyDescent="0.25">
      <c r="A35" s="8" t="s">
        <v>113</v>
      </c>
      <c r="B35" s="14" t="s">
        <v>119</v>
      </c>
      <c r="C35" s="5" t="str">
        <f t="shared" si="0"/>
        <v>09-JUL-2025</v>
      </c>
      <c r="D35" s="5" t="str">
        <f t="shared" si="1"/>
        <v>FR</v>
      </c>
      <c r="E35" s="8" t="s">
        <v>115</v>
      </c>
      <c r="F35" s="5" t="str">
        <f t="shared" si="2"/>
        <v>UNKNOWNCasio</v>
      </c>
      <c r="G35" s="16">
        <v>100</v>
      </c>
      <c r="H35" s="8">
        <v>20</v>
      </c>
      <c r="I35" s="8" t="s">
        <v>75</v>
      </c>
    </row>
  </sheetData>
  <conditionalFormatting sqref="G1:G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{AAF75CDD-6796-4BD8-9B60-EC900A28BA76}</x14:id>
        </ext>
      </extLs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">
    <cfRule type="containsText" dxfId="0" priority="3" operator="containsText" text="G2">
      <formula>NOT(ISERROR(SEARCH("G2",G2)))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75CDD-6796-4BD8-9B60-EC900A28B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F4" sqref="F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Dataset-1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Kannan</cp:lastModifiedBy>
  <dcterms:modified xsi:type="dcterms:W3CDTF">2025-11-09T09:48:57Z</dcterms:modified>
</cp:coreProperties>
</file>