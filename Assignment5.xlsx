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416991a484d2d0/Desktop/"/>
    </mc:Choice>
  </mc:AlternateContent>
  <xr:revisionPtr revIDLastSave="0" documentId="14_{63375405-4417-4BED-B5EC-F91181C978BA}" xr6:coauthVersionLast="47" xr6:coauthVersionMax="47" xr10:uidLastSave="{00000000-0000-0000-0000-000000000000}"/>
  <bookViews>
    <workbookView xWindow="-108" yWindow="-108" windowWidth="23256" windowHeight="12456" xr2:uid="{3BF2D4D7-5B2C-4A04-926D-552370117E9A}"/>
  </bookViews>
  <sheets>
    <sheet name="Sheet1" sheetId="1" r:id="rId1"/>
  </sheets>
  <definedNames>
    <definedName name="_xlnm._FilterDatabase" localSheetId="0" hidden="1">Sheet1!$F$1:$F$51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2" i="1"/>
  <c r="J14" i="1"/>
  <c r="J28" i="1"/>
  <c r="J35" i="1"/>
  <c r="J46" i="1"/>
  <c r="J49" i="1"/>
  <c r="J3" i="1"/>
  <c r="J17" i="1"/>
  <c r="J34" i="1"/>
</calcChain>
</file>

<file path=xl/sharedStrings.xml><?xml version="1.0" encoding="utf-8"?>
<sst xmlns="http://schemas.openxmlformats.org/spreadsheetml/2006/main" count="317" uniqueCount="217">
  <si>
    <t>OrderID</t>
  </si>
  <si>
    <t>Email</t>
  </si>
  <si>
    <t>OrderDate</t>
  </si>
  <si>
    <t>Quantity</t>
  </si>
  <si>
    <t>UnitPrice</t>
  </si>
  <si>
    <t>Country</t>
  </si>
  <si>
    <t>Phone</t>
  </si>
  <si>
    <t>ORD01126</t>
  </si>
  <si>
    <t>Sophia Lee</t>
  </si>
  <si>
    <t>sophia.lee39@example.com</t>
  </si>
  <si>
    <t>321 Maple St, Kolkata, WB 700001</t>
  </si>
  <si>
    <t>(780) 954-7375</t>
  </si>
  <si>
    <t>Refunded</t>
  </si>
  <si>
    <t>ORD01109</t>
  </si>
  <si>
    <t>Liam Wilson +1-854-5833</t>
  </si>
  <si>
    <t>liam.wilson91@example.com</t>
  </si>
  <si>
    <t>123 Elm St | New York - 10001</t>
  </si>
  <si>
    <t>ORD01122</t>
  </si>
  <si>
    <t>ALICE Johnson</t>
  </si>
  <si>
    <t>321 Maple St, New York, 10001</t>
  </si>
  <si>
    <t>USA</t>
  </si>
  <si>
    <t>+91 90990 90980</t>
  </si>
  <si>
    <t xml:space="preserve">Paid </t>
  </si>
  <si>
    <t>ORD01052</t>
  </si>
  <si>
    <t>Ethan Walker</t>
  </si>
  <si>
    <t>ethan.walker74@example.com</t>
  </si>
  <si>
    <t>321 Maple St | Hyderabad - 500001</t>
  </si>
  <si>
    <t>+91 90359 96275</t>
  </si>
  <si>
    <t>ORD01089</t>
  </si>
  <si>
    <t>isabella taylor</t>
  </si>
  <si>
    <t>isabella.taylor10@example.com</t>
  </si>
  <si>
    <t>9 Sycamore Pl, Bengaluru, 560001</t>
  </si>
  <si>
    <t>ORD01028</t>
  </si>
  <si>
    <t>88 Spruce Dr, Kolkata, WB 700001</t>
  </si>
  <si>
    <t>ORD01148</t>
  </si>
  <si>
    <t>Noah Anderson</t>
  </si>
  <si>
    <t>noah.anderson at example.com</t>
  </si>
  <si>
    <t>321 Maple St, Hyderabad, 500001</t>
  </si>
  <si>
    <t>(807) 331-9510</t>
  </si>
  <si>
    <t>ORD01049</t>
  </si>
  <si>
    <t>PRIYA PATEL</t>
  </si>
  <si>
    <t>priya.patel98@example.com</t>
  </si>
  <si>
    <t>202 Willow Way | New York - 10001</t>
  </si>
  <si>
    <t>ORD01095</t>
  </si>
  <si>
    <t>noah anderson</t>
  </si>
  <si>
    <t>noah.anderson38@example.com</t>
  </si>
  <si>
    <t>77 Aspen Ct | New York - 10001</t>
  </si>
  <si>
    <t>ORD01136</t>
  </si>
  <si>
    <t>priya patel</t>
  </si>
  <si>
    <t>priya.patel27@example.com</t>
  </si>
  <si>
    <t>456 Oak Ave, New York, 10001</t>
  </si>
  <si>
    <t>+91 97801 22795</t>
  </si>
  <si>
    <t>ORD01018</t>
  </si>
  <si>
    <t>321 Maple St, Mumbai, 400001</t>
  </si>
  <si>
    <t>(442) 985-3662</t>
  </si>
  <si>
    <t>ORD01080</t>
  </si>
  <si>
    <t>michael brown</t>
  </si>
  <si>
    <t>michael.brown90@example.com</t>
  </si>
  <si>
    <t>101 Birch Lane, London, ENG SW1A 1AA</t>
  </si>
  <si>
    <t>Paid</t>
  </si>
  <si>
    <t>ORD01015</t>
  </si>
  <si>
    <t>ALICE JOHNSON</t>
  </si>
  <si>
    <t>alice.johnson32@example.com</t>
  </si>
  <si>
    <t>321 Maple St | Pune - 411001</t>
  </si>
  <si>
    <t>(648) 953-9900</t>
  </si>
  <si>
    <t>refunded</t>
  </si>
  <si>
    <t>ORD01061</t>
  </si>
  <si>
    <t>Charlotte Clark</t>
  </si>
  <si>
    <t>charlotte.clark62@example.com</t>
  </si>
  <si>
    <t>88 Spruce Dr | Bengaluru - 560001</t>
  </si>
  <si>
    <t>paid</t>
  </si>
  <si>
    <t>ORD01023</t>
  </si>
  <si>
    <t>Emily Davis</t>
  </si>
  <si>
    <t>emily.davis97@example.com</t>
  </si>
  <si>
    <t>555 Cedar Blvd, Pune, 411001</t>
  </si>
  <si>
    <t>+91 93680 36100</t>
  </si>
  <si>
    <t>ORD01029</t>
  </si>
  <si>
    <t>202 Willow Way | London - SW1A 1AA</t>
  </si>
  <si>
    <t>(665) 434-6529</t>
  </si>
  <si>
    <t>ORD01123</t>
  </si>
  <si>
    <t>amelia lewis</t>
  </si>
  <si>
    <t>amelia.lewis14@example.com</t>
  </si>
  <si>
    <t>555 Cedar Blvd, Seattle, 98101</t>
  </si>
  <si>
    <t>(446) 296-9625</t>
  </si>
  <si>
    <t>ORD01099</t>
  </si>
  <si>
    <t>mia harris</t>
  </si>
  <si>
    <t>mia.harris39@example.com</t>
  </si>
  <si>
    <t>9 Sycamore Pl, Delhi, DL 110001</t>
  </si>
  <si>
    <t>ORD01143</t>
  </si>
  <si>
    <t>MASON THOMAS</t>
  </si>
  <si>
    <t>mason.thomas16@example.com</t>
  </si>
  <si>
    <t>123 Elm St | Chennai - 600001</t>
  </si>
  <si>
    <t>(414) 930-6744</t>
  </si>
  <si>
    <t>ORD01016</t>
  </si>
  <si>
    <t>amelia.lewis44@example.com</t>
  </si>
  <si>
    <t>456 Oak Ave, Pune, PN 411001</t>
  </si>
  <si>
    <t>+91 98280 74032</t>
  </si>
  <si>
    <t>ORD01070</t>
  </si>
  <si>
    <t>john smith</t>
  </si>
  <si>
    <t>john.smith68@example.com</t>
  </si>
  <si>
    <t>101 Birch Lane | New York - 10001</t>
  </si>
  <si>
    <t>+91 95562 39041</t>
  </si>
  <si>
    <t>ORD01013</t>
  </si>
  <si>
    <t>MIA HARRIS</t>
  </si>
  <si>
    <t>88 Spruce Dr, Seattle, 98101</t>
  </si>
  <si>
    <t>(258) 620-2312</t>
  </si>
  <si>
    <t>ORD01010</t>
  </si>
  <si>
    <t>jane doe</t>
  </si>
  <si>
    <t>jane.doe53@example.com</t>
  </si>
  <si>
    <t>ORD01030</t>
  </si>
  <si>
    <t>mason thomas None</t>
  </si>
  <si>
    <t>mason.thomas97@example.com</t>
  </si>
  <si>
    <t>101 Birch Lane, Mumbai, 400001</t>
  </si>
  <si>
    <t>ORD01146</t>
  </si>
  <si>
    <t>mia.harris28@example.com</t>
  </si>
  <si>
    <t>77 Aspen Ct, Delhi, DL 110001</t>
  </si>
  <si>
    <t>+91 94646 54270</t>
  </si>
  <si>
    <t>ORD01092</t>
  </si>
  <si>
    <t>amelia.lewis91@example.com</t>
  </si>
  <si>
    <t>123 Elm St, New York, 10001</t>
  </si>
  <si>
    <t>+91 91292 42847</t>
  </si>
  <si>
    <t>ORD01053</t>
  </si>
  <si>
    <t>jane.doe87@example.com</t>
  </si>
  <si>
    <t>321 Maple St | Kolkata - 700001</t>
  </si>
  <si>
    <t>(843) 199-1645</t>
  </si>
  <si>
    <t>ORD01125</t>
  </si>
  <si>
    <t>MIA HARRIS 7164344392</t>
  </si>
  <si>
    <t>mia.harris30@example.com</t>
  </si>
  <si>
    <t>202 Willow Way, Delhi, 110001</t>
  </si>
  <si>
    <t>ORD01150</t>
  </si>
  <si>
    <t>john.smith13@example.com</t>
  </si>
  <si>
    <t>ORD01130</t>
  </si>
  <si>
    <t>+91 94397 74634</t>
  </si>
  <si>
    <t>ORD01073</t>
  </si>
  <si>
    <t>jane.doe6@example.com</t>
  </si>
  <si>
    <t>88 Spruce Dr | Hyderabad - 500001</t>
  </si>
  <si>
    <t>(529) 719-8792</t>
  </si>
  <si>
    <t>ORD01056</t>
  </si>
  <si>
    <t>NOAH ANDERSON</t>
  </si>
  <si>
    <t>noah.anderson60@example.com</t>
  </si>
  <si>
    <t>88 Spruce Dr, Delhi, 110001</t>
  </si>
  <si>
    <t>+91 96689 25292</t>
  </si>
  <si>
    <t>ORD01079</t>
  </si>
  <si>
    <t>amelia.lewis29@example.com</t>
  </si>
  <si>
    <t>+91 90436 64381</t>
  </si>
  <si>
    <t>ORD01003</t>
  </si>
  <si>
    <t>123 Elm St | Mumbai - 400001</t>
  </si>
  <si>
    <t>+91 92664 58520</t>
  </si>
  <si>
    <t>ORD01088</t>
  </si>
  <si>
    <t>noah.anderson51@example.com</t>
  </si>
  <si>
    <t>101 Birch Lane | Delhi - 110001</t>
  </si>
  <si>
    <t>+91 94089 24869</t>
  </si>
  <si>
    <t>ORD01043</t>
  </si>
  <si>
    <t>lucas white</t>
  </si>
  <si>
    <t>lucas.white21@example.com</t>
  </si>
  <si>
    <t>77 Aspen Ct | Delhi - 110001</t>
  </si>
  <si>
    <t>ORD01041</t>
  </si>
  <si>
    <t>ethan.walker96@example.com</t>
  </si>
  <si>
    <t>555 Cedar Blvd, London, ENG SW1A 1AA</t>
  </si>
  <si>
    <t>+91 97195 26299</t>
  </si>
  <si>
    <t>ORD01064</t>
  </si>
  <si>
    <t>alice.johnson86@example.com</t>
  </si>
  <si>
    <t>ORD01144</t>
  </si>
  <si>
    <t>emily.davis66@example.com</t>
  </si>
  <si>
    <t>ORD01025</t>
  </si>
  <si>
    <t>charlotte.clark57@example.com</t>
  </si>
  <si>
    <t>77 Aspen Ct, Pune, 411001</t>
  </si>
  <si>
    <t>ORD01132</t>
  </si>
  <si>
    <t>+91 96161 46739</t>
  </si>
  <si>
    <t>ORD01111</t>
  </si>
  <si>
    <t>MOHAMMED KHAN</t>
  </si>
  <si>
    <t>mohammed.khan92@example.com</t>
  </si>
  <si>
    <t>ORD01087</t>
  </si>
  <si>
    <t>noah.anderson87@example.com</t>
  </si>
  <si>
    <t>ORD01124</t>
  </si>
  <si>
    <t>ISABELLA TAYLOR</t>
  </si>
  <si>
    <t>isabella.taylor98@example.com</t>
  </si>
  <si>
    <t>321 Maple St, Bengaluru, 560001</t>
  </si>
  <si>
    <t>ORD01035</t>
  </si>
  <si>
    <t>sophia.lee58@example.com</t>
  </si>
  <si>
    <t>77 Aspen Ct, Pune, PN 411001</t>
  </si>
  <si>
    <t>ORD01077</t>
  </si>
  <si>
    <t>9 Sycamore Pl, London, SW1A 1AA</t>
  </si>
  <si>
    <t>UK</t>
  </si>
  <si>
    <t>(654) 725-5668</t>
  </si>
  <si>
    <t>ORD01021</t>
  </si>
  <si>
    <t>Liam Wilson</t>
  </si>
  <si>
    <t>liam.wilson86@example.com</t>
  </si>
  <si>
    <t>202 Willow Way, Seattle, 98101</t>
  </si>
  <si>
    <t>+91 92041 49363</t>
  </si>
  <si>
    <t>ORD01119</t>
  </si>
  <si>
    <t>liam.wilson31@example.com</t>
  </si>
  <si>
    <t>456 Oak Ave, Chennai, TN 600001</t>
  </si>
  <si>
    <t>+91 96236 71112</t>
  </si>
  <si>
    <t>TotalPrice</t>
  </si>
  <si>
    <t>ShippINDIAgAddress</t>
  </si>
  <si>
    <t>olivia MARTINDIA</t>
  </si>
  <si>
    <t>olivia.martINDIA49@example.com</t>
  </si>
  <si>
    <t>789 PINDIAe Rd, Kolkata, 700001</t>
  </si>
  <si>
    <t>INDIA</t>
  </si>
  <si>
    <t>PENDINDIAG</t>
  </si>
  <si>
    <t>olivia.martINDIA53@example.com</t>
  </si>
  <si>
    <t>olivia.martINDIA4@example.com</t>
  </si>
  <si>
    <t>Ava RobINDIAson</t>
  </si>
  <si>
    <t>PendINDIAg</t>
  </si>
  <si>
    <t>AVA ROBINDIASON</t>
  </si>
  <si>
    <t>789 PINDIAe Rd | Bengaluru - 560001</t>
  </si>
  <si>
    <t>789 PINDIAe Rd | London - SW1A 1AA</t>
  </si>
  <si>
    <t>Ava RobINDIAson +91 94397 74634</t>
  </si>
  <si>
    <t>ava.robINDIAson22@example.com</t>
  </si>
  <si>
    <t>ava.robINDIAson74@example.com</t>
  </si>
  <si>
    <t>789 PINDIAe Rd | Hyderabad - 500001</t>
  </si>
  <si>
    <t>789 PINDIAe Rd, Delhi, 110001</t>
  </si>
  <si>
    <t>789 PINDIAe Rd, Hyderabad, 500001</t>
  </si>
  <si>
    <t>PaymentStatUSA</t>
  </si>
  <si>
    <t>Average Calculation for Quatity</t>
  </si>
  <si>
    <t>CustomerName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</si>
</sst>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3"/>
      <name val="Calibri"/>
      <family val="2"/>
    </font>
    <font>
      <sz val="11"/>
      <color theme="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1" fillId="0" borderId="0" xfId="0" applyFont="1"/>
    <xf numFmtId="14" fontId="3" fillId="0" borderId="0" xfId="0" applyNumberFormat="1" applyFont="1"/>
    <xf numFmtId="164" fontId="1" fillId="0" borderId="0" xfId="0" applyNumberFormat="1" applyFont="1"/>
    <xf numFmtId="4" fontId="1" fillId="0" borderId="0" xfId="0" applyNumberFormat="1" applyFont="1"/>
    <xf numFmtId="4" fontId="0" fillId="0" borderId="0" xfId="0" applyNumberFormat="1"/>
    <xf numFmtId="49" fontId="1" fillId="0" borderId="0" xfId="0" applyNumberFormat="1" applyFont="1"/>
    <xf numFmtId="49" fontId="0" fillId="0" borderId="0" xfId="0" applyNumberFormat="1"/>
    <xf numFmtId="164" fontId="0" fillId="0" borderId="0" xfId="0" applyNumberFormat="1"/>
    <xf numFmtId="0" fontId="4" fillId="2" borderId="0" xfId="0" applyFont="1" applyFill="1"/>
    <xf numFmtId="49" fontId="4" fillId="2" borderId="0" xfId="0" applyNumberFormat="1" applyFont="1" applyFill="1"/>
    <xf numFmtId="0" fontId="5" fillId="2" borderId="0" xfId="0" applyFont="1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D0A11-87D7-46D3-92B1-E3C281F12D7F}">
  <dimension ref="A1:N58"/>
  <sheetViews>
    <sheetView tabSelected="1" topLeftCell="A2" workbookViewId="0">
      <selection activeCell="F16" sqref="F16"/>
    </sheetView>
  </sheetViews>
  <sheetFormatPr defaultRowHeight="14.4" x14ac:dyDescent="0.3"/>
  <cols>
    <col min="1" max="1" width="9.6640625" bestFit="1" customWidth="1"/>
    <col min="2" max="2" width="26.109375" bestFit="1" customWidth="1"/>
    <col min="3" max="3" width="30.21875" bestFit="1" customWidth="1"/>
    <col min="4" max="4" width="10.33203125" bestFit="1" customWidth="1"/>
    <col min="5" max="5" width="33.44140625" bestFit="1" customWidth="1"/>
    <col min="7" max="7" width="27.6640625" bestFit="1" customWidth="1"/>
    <col min="8" max="8" width="8.6640625" bestFit="1" customWidth="1"/>
    <col min="9" max="9" width="13.5546875" style="8" bestFit="1" customWidth="1"/>
    <col min="13" max="13" width="9.33203125" bestFit="1" customWidth="1"/>
  </cols>
  <sheetData>
    <row r="1" spans="1:14" x14ac:dyDescent="0.3">
      <c r="A1" s="10" t="s">
        <v>0</v>
      </c>
      <c r="B1" s="10" t="s">
        <v>216</v>
      </c>
      <c r="C1" s="10" t="s">
        <v>1</v>
      </c>
      <c r="D1" s="10" t="s">
        <v>2</v>
      </c>
      <c r="E1" s="10" t="s">
        <v>195</v>
      </c>
      <c r="F1" s="10" t="s">
        <v>3</v>
      </c>
      <c r="G1" s="10" t="s">
        <v>215</v>
      </c>
      <c r="H1" s="10" t="s">
        <v>4</v>
      </c>
      <c r="I1" s="11" t="s">
        <v>5</v>
      </c>
      <c r="J1" s="10" t="s">
        <v>6</v>
      </c>
      <c r="K1" s="10" t="s">
        <v>214</v>
      </c>
      <c r="L1" s="12"/>
      <c r="M1" s="10" t="s">
        <v>194</v>
      </c>
      <c r="N1" s="1"/>
    </row>
    <row r="2" spans="1:14" x14ac:dyDescent="0.3">
      <c r="A2" s="2" t="s">
        <v>145</v>
      </c>
      <c r="B2" t="s">
        <v>196</v>
      </c>
      <c r="C2" s="2" t="s">
        <v>197</v>
      </c>
      <c r="D2" s="3">
        <v>45506</v>
      </c>
      <c r="E2" s="13" t="s">
        <v>146</v>
      </c>
      <c r="F2" s="5">
        <v>3</v>
      </c>
      <c r="G2" s="5">
        <f>IF(ISBLANK(F2),AVERAGE(F2:F49),F2)</f>
        <v>3</v>
      </c>
      <c r="H2" s="4">
        <v>29.99</v>
      </c>
      <c r="I2" s="7" t="s">
        <v>199</v>
      </c>
      <c r="J2" s="2" t="s">
        <v>147</v>
      </c>
      <c r="K2" s="2" t="s">
        <v>12</v>
      </c>
      <c r="M2" s="9">
        <f>F2*H2</f>
        <v>89.97</v>
      </c>
      <c r="N2" s="9"/>
    </row>
    <row r="3" spans="1:14" x14ac:dyDescent="0.3">
      <c r="A3" s="2" t="s">
        <v>106</v>
      </c>
      <c r="B3" s="2" t="s">
        <v>107</v>
      </c>
      <c r="C3" s="2" t="s">
        <v>108</v>
      </c>
      <c r="D3" s="3">
        <v>45725</v>
      </c>
      <c r="E3" s="2" t="s">
        <v>198</v>
      </c>
      <c r="F3" s="5">
        <v>1</v>
      </c>
      <c r="G3" s="5">
        <f t="shared" ref="G3:G49" si="0">IF(ISBLANK(F3),AVERAGE(F3:F50),F3)</f>
        <v>1</v>
      </c>
      <c r="H3" s="4">
        <v>49.99</v>
      </c>
      <c r="I3" s="7" t="s">
        <v>199</v>
      </c>
      <c r="J3" s="2">
        <f>1-874-8062</f>
        <v>-8935</v>
      </c>
      <c r="K3" s="2" t="s">
        <v>12</v>
      </c>
      <c r="M3" s="9">
        <f>F3*H3</f>
        <v>49.99</v>
      </c>
      <c r="N3" s="9"/>
    </row>
    <row r="4" spans="1:14" x14ac:dyDescent="0.3">
      <c r="A4" s="2" t="s">
        <v>102</v>
      </c>
      <c r="B4" s="2" t="s">
        <v>103</v>
      </c>
      <c r="D4" s="3">
        <v>45362</v>
      </c>
      <c r="E4" s="2" t="s">
        <v>104</v>
      </c>
      <c r="F4" s="5">
        <v>2</v>
      </c>
      <c r="G4" s="5">
        <f t="shared" si="0"/>
        <v>2</v>
      </c>
      <c r="H4" s="4">
        <v>15.99</v>
      </c>
      <c r="I4" s="7" t="s">
        <v>20</v>
      </c>
      <c r="J4" s="2" t="s">
        <v>105</v>
      </c>
      <c r="K4" s="2" t="s">
        <v>200</v>
      </c>
      <c r="M4" s="9">
        <f>F4*H4</f>
        <v>31.98</v>
      </c>
      <c r="N4" s="9"/>
    </row>
    <row r="5" spans="1:14" x14ac:dyDescent="0.3">
      <c r="A5" s="2" t="s">
        <v>60</v>
      </c>
      <c r="B5" s="2" t="s">
        <v>61</v>
      </c>
      <c r="C5" s="2" t="s">
        <v>62</v>
      </c>
      <c r="D5" s="3">
        <v>45833</v>
      </c>
      <c r="E5" s="2" t="s">
        <v>63</v>
      </c>
      <c r="F5" s="5">
        <v>1</v>
      </c>
      <c r="G5" s="5">
        <f t="shared" si="0"/>
        <v>1</v>
      </c>
      <c r="H5" s="4">
        <v>19.989999999999998</v>
      </c>
      <c r="I5" s="7" t="s">
        <v>199</v>
      </c>
      <c r="J5" s="2" t="s">
        <v>64</v>
      </c>
      <c r="K5" s="2" t="s">
        <v>65</v>
      </c>
      <c r="M5" s="9">
        <f>F5*H5</f>
        <v>19.989999999999998</v>
      </c>
      <c r="N5" s="9"/>
    </row>
    <row r="6" spans="1:14" x14ac:dyDescent="0.3">
      <c r="A6" s="2" t="s">
        <v>93</v>
      </c>
      <c r="B6" s="2" t="s">
        <v>80</v>
      </c>
      <c r="C6" s="2" t="s">
        <v>94</v>
      </c>
      <c r="D6" s="3">
        <v>45344</v>
      </c>
      <c r="E6" s="2" t="s">
        <v>95</v>
      </c>
      <c r="F6" s="6"/>
      <c r="G6" s="5">
        <f t="shared" si="0"/>
        <v>2.5853658536585367</v>
      </c>
      <c r="H6" s="4">
        <v>79.989999999999995</v>
      </c>
      <c r="I6" s="7" t="s">
        <v>199</v>
      </c>
      <c r="J6" s="2" t="s">
        <v>96</v>
      </c>
      <c r="K6" s="2" t="s">
        <v>65</v>
      </c>
      <c r="M6" s="9">
        <f>F6*H6</f>
        <v>0</v>
      </c>
      <c r="N6" s="9"/>
    </row>
    <row r="7" spans="1:14" x14ac:dyDescent="0.3">
      <c r="A7" s="2" t="s">
        <v>52</v>
      </c>
      <c r="B7" s="2" t="s">
        <v>196</v>
      </c>
      <c r="C7" s="2" t="s">
        <v>201</v>
      </c>
      <c r="D7" s="3">
        <v>45714</v>
      </c>
      <c r="E7" s="2" t="s">
        <v>53</v>
      </c>
      <c r="F7" s="5">
        <v>5</v>
      </c>
      <c r="G7" s="5">
        <f t="shared" si="0"/>
        <v>5</v>
      </c>
      <c r="H7" s="4">
        <v>15.99</v>
      </c>
      <c r="I7" s="7" t="s">
        <v>199</v>
      </c>
      <c r="J7" s="2" t="s">
        <v>54</v>
      </c>
      <c r="K7" s="2" t="s">
        <v>200</v>
      </c>
      <c r="M7" s="9">
        <f>F7*H7</f>
        <v>79.95</v>
      </c>
      <c r="N7" s="9"/>
    </row>
    <row r="8" spans="1:14" x14ac:dyDescent="0.3">
      <c r="A8" s="2" t="s">
        <v>185</v>
      </c>
      <c r="B8" s="2" t="s">
        <v>186</v>
      </c>
      <c r="C8" s="2" t="s">
        <v>187</v>
      </c>
      <c r="D8" s="3">
        <v>45710</v>
      </c>
      <c r="E8" s="2" t="s">
        <v>188</v>
      </c>
      <c r="F8" s="5">
        <v>1</v>
      </c>
      <c r="G8" s="5">
        <f t="shared" si="0"/>
        <v>1</v>
      </c>
      <c r="H8" s="4">
        <v>29.99</v>
      </c>
      <c r="I8" s="7" t="s">
        <v>20</v>
      </c>
      <c r="J8" s="2" t="s">
        <v>189</v>
      </c>
      <c r="K8" s="2" t="s">
        <v>65</v>
      </c>
      <c r="M8" s="9">
        <f>F8*H8</f>
        <v>29.99</v>
      </c>
      <c r="N8" s="9"/>
    </row>
    <row r="9" spans="1:14" x14ac:dyDescent="0.3">
      <c r="A9" s="2" t="s">
        <v>71</v>
      </c>
      <c r="B9" s="2" t="s">
        <v>72</v>
      </c>
      <c r="C9" s="2" t="s">
        <v>73</v>
      </c>
      <c r="D9" s="3">
        <v>45317</v>
      </c>
      <c r="E9" s="2" t="s">
        <v>74</v>
      </c>
      <c r="F9" s="5">
        <v>3</v>
      </c>
      <c r="G9" s="5">
        <f t="shared" si="0"/>
        <v>3</v>
      </c>
      <c r="H9" s="4">
        <v>79.989999999999995</v>
      </c>
      <c r="I9" s="7" t="s">
        <v>199</v>
      </c>
      <c r="J9" s="2" t="s">
        <v>75</v>
      </c>
      <c r="K9" s="2" t="s">
        <v>200</v>
      </c>
      <c r="M9" s="9">
        <f>F9*H9</f>
        <v>239.96999999999997</v>
      </c>
      <c r="N9" s="9"/>
    </row>
    <row r="10" spans="1:14" x14ac:dyDescent="0.3">
      <c r="A10" s="2" t="s">
        <v>164</v>
      </c>
      <c r="B10" s="2" t="s">
        <v>67</v>
      </c>
      <c r="C10" s="2" t="s">
        <v>165</v>
      </c>
      <c r="D10" s="3">
        <v>45454</v>
      </c>
      <c r="E10" s="2" t="s">
        <v>166</v>
      </c>
      <c r="F10" s="5">
        <v>2</v>
      </c>
      <c r="G10" s="5">
        <f t="shared" si="0"/>
        <v>2</v>
      </c>
      <c r="H10" s="4">
        <v>19.989999999999998</v>
      </c>
      <c r="I10" s="7" t="s">
        <v>199</v>
      </c>
      <c r="J10" s="2">
        <v>9567267411</v>
      </c>
      <c r="K10" s="2" t="s">
        <v>22</v>
      </c>
      <c r="M10" s="9">
        <f>F10*H10</f>
        <v>39.979999999999997</v>
      </c>
      <c r="N10" s="9"/>
    </row>
    <row r="11" spans="1:14" x14ac:dyDescent="0.3">
      <c r="A11" s="2" t="s">
        <v>32</v>
      </c>
      <c r="B11" s="2" t="s">
        <v>196</v>
      </c>
      <c r="C11" s="2" t="s">
        <v>202</v>
      </c>
      <c r="D11" s="3">
        <v>45770</v>
      </c>
      <c r="E11" s="2" t="s">
        <v>33</v>
      </c>
      <c r="F11" s="5">
        <v>2</v>
      </c>
      <c r="G11" s="5">
        <f t="shared" si="0"/>
        <v>2</v>
      </c>
      <c r="H11" s="4">
        <v>149.99</v>
      </c>
      <c r="I11" s="7" t="s">
        <v>199</v>
      </c>
      <c r="J11" s="2">
        <v>9110335359</v>
      </c>
      <c r="K11" s="2" t="s">
        <v>200</v>
      </c>
      <c r="M11" s="9">
        <f>F11*H11</f>
        <v>299.98</v>
      </c>
      <c r="N11" s="9"/>
    </row>
    <row r="12" spans="1:14" x14ac:dyDescent="0.3">
      <c r="A12" s="2" t="s">
        <v>76</v>
      </c>
      <c r="B12" s="2" t="s">
        <v>203</v>
      </c>
      <c r="D12" s="3">
        <v>45576</v>
      </c>
      <c r="E12" s="2" t="s">
        <v>77</v>
      </c>
      <c r="F12" s="6"/>
      <c r="G12" s="5">
        <f t="shared" si="0"/>
        <v>2.5833333333333335</v>
      </c>
      <c r="H12" s="4">
        <v>15.99</v>
      </c>
      <c r="I12" s="7" t="s">
        <v>183</v>
      </c>
      <c r="J12" s="2" t="s">
        <v>78</v>
      </c>
      <c r="M12" s="9">
        <f>F12*H12</f>
        <v>0</v>
      </c>
      <c r="N12" s="9"/>
    </row>
    <row r="13" spans="1:14" x14ac:dyDescent="0.3">
      <c r="A13" s="2" t="s">
        <v>109</v>
      </c>
      <c r="B13" s="2" t="s">
        <v>110</v>
      </c>
      <c r="C13" s="2" t="s">
        <v>111</v>
      </c>
      <c r="D13" s="3">
        <v>45496</v>
      </c>
      <c r="E13" s="2" t="s">
        <v>112</v>
      </c>
      <c r="F13" s="5">
        <v>5</v>
      </c>
      <c r="G13" s="5">
        <f t="shared" si="0"/>
        <v>5</v>
      </c>
      <c r="H13" s="4">
        <v>15.99</v>
      </c>
      <c r="I13" s="7" t="s">
        <v>199</v>
      </c>
      <c r="K13" s="2" t="s">
        <v>204</v>
      </c>
      <c r="M13" s="9">
        <f>F13*H13</f>
        <v>79.95</v>
      </c>
      <c r="N13" s="9"/>
    </row>
    <row r="14" spans="1:14" x14ac:dyDescent="0.3">
      <c r="A14" s="2" t="s">
        <v>178</v>
      </c>
      <c r="B14" s="2" t="s">
        <v>8</v>
      </c>
      <c r="C14" s="2" t="s">
        <v>179</v>
      </c>
      <c r="D14" s="3">
        <v>45541</v>
      </c>
      <c r="E14" s="2" t="s">
        <v>180</v>
      </c>
      <c r="F14" s="5">
        <v>3</v>
      </c>
      <c r="G14" s="5">
        <f t="shared" si="0"/>
        <v>3</v>
      </c>
      <c r="H14" s="4">
        <v>29.99</v>
      </c>
      <c r="I14" s="7" t="s">
        <v>199</v>
      </c>
      <c r="J14" s="2">
        <f>1-501-4630</f>
        <v>-5130</v>
      </c>
      <c r="M14" s="9">
        <f>F14*H14</f>
        <v>89.97</v>
      </c>
      <c r="N14" s="9"/>
    </row>
    <row r="15" spans="1:14" x14ac:dyDescent="0.3">
      <c r="A15" s="2" t="s">
        <v>156</v>
      </c>
      <c r="B15" s="2" t="s">
        <v>24</v>
      </c>
      <c r="C15" s="2" t="s">
        <v>157</v>
      </c>
      <c r="D15" s="3">
        <v>45603</v>
      </c>
      <c r="E15" s="2" t="s">
        <v>158</v>
      </c>
      <c r="F15" s="5">
        <v>3</v>
      </c>
      <c r="G15" s="5">
        <f t="shared" si="0"/>
        <v>3</v>
      </c>
      <c r="H15" s="4">
        <v>29.99</v>
      </c>
      <c r="I15" s="7" t="s">
        <v>183</v>
      </c>
      <c r="J15" s="2" t="s">
        <v>159</v>
      </c>
      <c r="K15" s="2" t="s">
        <v>22</v>
      </c>
      <c r="M15" s="9">
        <f>F15*H15</f>
        <v>89.97</v>
      </c>
      <c r="N15" s="9"/>
    </row>
    <row r="16" spans="1:14" x14ac:dyDescent="0.3">
      <c r="A16" s="2" t="s">
        <v>152</v>
      </c>
      <c r="B16" s="2" t="s">
        <v>153</v>
      </c>
      <c r="C16" s="2" t="s">
        <v>154</v>
      </c>
      <c r="D16" s="3">
        <v>45855</v>
      </c>
      <c r="E16" s="2" t="s">
        <v>155</v>
      </c>
      <c r="F16" s="5">
        <v>5</v>
      </c>
      <c r="G16" s="5">
        <f t="shared" si="0"/>
        <v>5</v>
      </c>
      <c r="H16" s="4">
        <v>49.99</v>
      </c>
      <c r="I16" s="7" t="s">
        <v>199</v>
      </c>
      <c r="J16" s="2">
        <v>7237886015</v>
      </c>
      <c r="M16" s="9">
        <f>F16*H16</f>
        <v>249.95000000000002</v>
      </c>
      <c r="N16" s="9"/>
    </row>
    <row r="17" spans="1:14" x14ac:dyDescent="0.3">
      <c r="A17" s="2" t="s">
        <v>39</v>
      </c>
      <c r="B17" s="2" t="s">
        <v>40</v>
      </c>
      <c r="C17" s="2" t="s">
        <v>41</v>
      </c>
      <c r="D17" s="3">
        <v>45586</v>
      </c>
      <c r="E17" s="2" t="s">
        <v>42</v>
      </c>
      <c r="F17" s="5">
        <v>1</v>
      </c>
      <c r="G17" s="5">
        <f t="shared" si="0"/>
        <v>1</v>
      </c>
      <c r="H17" s="4">
        <v>39.99</v>
      </c>
      <c r="I17" s="7" t="s">
        <v>20</v>
      </c>
      <c r="J17" s="2">
        <f>1-832-2121</f>
        <v>-2952</v>
      </c>
      <c r="K17" s="2" t="s">
        <v>204</v>
      </c>
      <c r="M17" s="9">
        <f>F17*H17</f>
        <v>39.99</v>
      </c>
      <c r="N17" s="9"/>
    </row>
    <row r="18" spans="1:14" x14ac:dyDescent="0.3">
      <c r="A18" s="2" t="s">
        <v>23</v>
      </c>
      <c r="B18" s="2" t="s">
        <v>24</v>
      </c>
      <c r="C18" s="2" t="s">
        <v>25</v>
      </c>
      <c r="D18" s="3">
        <v>45573</v>
      </c>
      <c r="E18" s="2" t="s">
        <v>26</v>
      </c>
      <c r="F18" s="5">
        <v>4</v>
      </c>
      <c r="G18" s="5">
        <f t="shared" si="0"/>
        <v>4</v>
      </c>
      <c r="H18" s="4">
        <v>49.99</v>
      </c>
      <c r="I18" s="7" t="s">
        <v>199</v>
      </c>
      <c r="J18" s="2" t="s">
        <v>27</v>
      </c>
      <c r="M18" s="9">
        <f>F18*H18</f>
        <v>199.96</v>
      </c>
      <c r="N18" s="9"/>
    </row>
    <row r="19" spans="1:14" x14ac:dyDescent="0.3">
      <c r="A19" s="2" t="s">
        <v>121</v>
      </c>
      <c r="B19" s="2" t="s">
        <v>107</v>
      </c>
      <c r="C19" s="2" t="s">
        <v>122</v>
      </c>
      <c r="D19" s="3">
        <v>45743</v>
      </c>
      <c r="E19" s="2" t="s">
        <v>123</v>
      </c>
      <c r="F19" s="5">
        <v>4</v>
      </c>
      <c r="G19" s="5">
        <f t="shared" si="0"/>
        <v>4</v>
      </c>
      <c r="H19" s="4">
        <v>39.99</v>
      </c>
      <c r="I19" s="7" t="s">
        <v>199</v>
      </c>
      <c r="J19" s="2" t="s">
        <v>124</v>
      </c>
      <c r="K19" s="2" t="s">
        <v>65</v>
      </c>
      <c r="M19" s="9">
        <f>F19*H19</f>
        <v>159.96</v>
      </c>
      <c r="N19" s="9"/>
    </row>
    <row r="20" spans="1:14" x14ac:dyDescent="0.3">
      <c r="A20" s="2" t="s">
        <v>137</v>
      </c>
      <c r="B20" s="2" t="s">
        <v>138</v>
      </c>
      <c r="C20" s="2" t="s">
        <v>139</v>
      </c>
      <c r="D20" s="3">
        <v>45338</v>
      </c>
      <c r="E20" s="2" t="s">
        <v>140</v>
      </c>
      <c r="F20" s="5">
        <v>2</v>
      </c>
      <c r="G20" s="5">
        <f t="shared" si="0"/>
        <v>2</v>
      </c>
      <c r="H20" s="4">
        <v>15.99</v>
      </c>
      <c r="I20" s="7" t="s">
        <v>199</v>
      </c>
      <c r="J20" s="2" t="s">
        <v>141</v>
      </c>
      <c r="K20" s="2" t="s">
        <v>200</v>
      </c>
      <c r="M20" s="9">
        <f>F20*H20</f>
        <v>31.98</v>
      </c>
      <c r="N20" s="9"/>
    </row>
    <row r="21" spans="1:14" x14ac:dyDescent="0.3">
      <c r="A21" s="2" t="s">
        <v>66</v>
      </c>
      <c r="B21" s="2" t="s">
        <v>67</v>
      </c>
      <c r="C21" s="2" t="s">
        <v>68</v>
      </c>
      <c r="D21" s="3">
        <v>45794</v>
      </c>
      <c r="E21" s="2" t="s">
        <v>69</v>
      </c>
      <c r="F21" s="5">
        <v>3</v>
      </c>
      <c r="G21" s="5">
        <f t="shared" si="0"/>
        <v>3</v>
      </c>
      <c r="H21" s="4">
        <v>15.99</v>
      </c>
      <c r="I21" s="7" t="s">
        <v>199</v>
      </c>
      <c r="J21" s="2">
        <v>8946766309</v>
      </c>
      <c r="K21" s="2" t="s">
        <v>70</v>
      </c>
      <c r="M21" s="9">
        <f>F21*H21</f>
        <v>47.97</v>
      </c>
      <c r="N21" s="9"/>
    </row>
    <row r="22" spans="1:14" x14ac:dyDescent="0.3">
      <c r="A22" s="2" t="s">
        <v>160</v>
      </c>
      <c r="B22" s="2" t="s">
        <v>61</v>
      </c>
      <c r="C22" s="2" t="s">
        <v>161</v>
      </c>
      <c r="D22" s="3">
        <v>45586</v>
      </c>
      <c r="E22" s="2" t="s">
        <v>104</v>
      </c>
      <c r="F22" s="5">
        <v>4</v>
      </c>
      <c r="G22" s="5">
        <f t="shared" si="0"/>
        <v>4</v>
      </c>
      <c r="H22" s="4">
        <v>119.99</v>
      </c>
      <c r="I22" s="7" t="s">
        <v>20</v>
      </c>
      <c r="J22" s="2">
        <v>9728427375</v>
      </c>
      <c r="K22" s="2" t="s">
        <v>59</v>
      </c>
      <c r="M22" s="9">
        <f>F22*H22</f>
        <v>479.96</v>
      </c>
      <c r="N22" s="9"/>
    </row>
    <row r="23" spans="1:14" x14ac:dyDescent="0.3">
      <c r="A23" s="2" t="s">
        <v>97</v>
      </c>
      <c r="B23" s="2" t="s">
        <v>98</v>
      </c>
      <c r="C23" s="2" t="s">
        <v>99</v>
      </c>
      <c r="D23" s="3">
        <v>45464</v>
      </c>
      <c r="E23" s="2" t="s">
        <v>100</v>
      </c>
      <c r="F23" s="5">
        <v>4</v>
      </c>
      <c r="G23" s="5">
        <f t="shared" si="0"/>
        <v>4</v>
      </c>
      <c r="H23" s="4">
        <v>49.99</v>
      </c>
      <c r="I23" s="7" t="s">
        <v>20</v>
      </c>
      <c r="J23" s="2" t="s">
        <v>101</v>
      </c>
      <c r="K23" s="2" t="s">
        <v>12</v>
      </c>
      <c r="M23" s="9">
        <f>F23*H23</f>
        <v>199.96</v>
      </c>
      <c r="N23" s="9"/>
    </row>
    <row r="24" spans="1:14" x14ac:dyDescent="0.3">
      <c r="A24" s="2" t="s">
        <v>133</v>
      </c>
      <c r="B24" s="2" t="s">
        <v>107</v>
      </c>
      <c r="C24" s="2" t="s">
        <v>134</v>
      </c>
      <c r="D24" s="3">
        <v>45355</v>
      </c>
      <c r="E24" s="2" t="s">
        <v>135</v>
      </c>
      <c r="F24" s="5">
        <v>2</v>
      </c>
      <c r="G24" s="5">
        <f t="shared" si="0"/>
        <v>2</v>
      </c>
      <c r="H24" s="4">
        <v>19.989999999999998</v>
      </c>
      <c r="I24" s="7" t="s">
        <v>199</v>
      </c>
      <c r="J24" s="2" t="s">
        <v>136</v>
      </c>
      <c r="K24" s="2" t="s">
        <v>200</v>
      </c>
      <c r="M24" s="9">
        <f>F24*H24</f>
        <v>39.979999999999997</v>
      </c>
      <c r="N24" s="9"/>
    </row>
    <row r="25" spans="1:14" x14ac:dyDescent="0.3">
      <c r="A25" s="2" t="s">
        <v>181</v>
      </c>
      <c r="B25" s="2" t="s">
        <v>205</v>
      </c>
      <c r="D25" s="3">
        <v>45531</v>
      </c>
      <c r="E25" s="2" t="s">
        <v>182</v>
      </c>
      <c r="F25" s="5">
        <v>1</v>
      </c>
      <c r="G25" s="5">
        <f t="shared" si="0"/>
        <v>1</v>
      </c>
      <c r="H25" s="4">
        <v>79.989999999999995</v>
      </c>
      <c r="I25" s="7" t="s">
        <v>183</v>
      </c>
      <c r="J25" s="2" t="s">
        <v>184</v>
      </c>
      <c r="K25" s="2" t="s">
        <v>22</v>
      </c>
      <c r="M25" s="9">
        <f>F25*H25</f>
        <v>79.989999999999995</v>
      </c>
      <c r="N25" s="9"/>
    </row>
    <row r="26" spans="1:14" x14ac:dyDescent="0.3">
      <c r="A26" s="2" t="s">
        <v>142</v>
      </c>
      <c r="B26" s="2" t="s">
        <v>80</v>
      </c>
      <c r="C26" s="2" t="s">
        <v>143</v>
      </c>
      <c r="D26" s="3">
        <v>45697</v>
      </c>
      <c r="E26" s="2" t="s">
        <v>206</v>
      </c>
      <c r="F26" s="5">
        <v>1</v>
      </c>
      <c r="G26" s="5">
        <f t="shared" si="0"/>
        <v>1</v>
      </c>
      <c r="H26" s="4">
        <v>19.989999999999998</v>
      </c>
      <c r="I26" s="7" t="s">
        <v>199</v>
      </c>
      <c r="J26" s="2" t="s">
        <v>144</v>
      </c>
      <c r="K26" s="2" t="s">
        <v>59</v>
      </c>
      <c r="M26" s="9">
        <f>F26*H26</f>
        <v>19.989999999999998</v>
      </c>
      <c r="N26" s="9"/>
    </row>
    <row r="27" spans="1:14" x14ac:dyDescent="0.3">
      <c r="A27" s="2" t="s">
        <v>55</v>
      </c>
      <c r="B27" s="2" t="s">
        <v>56</v>
      </c>
      <c r="C27" s="2" t="s">
        <v>57</v>
      </c>
      <c r="D27" s="3">
        <v>45373</v>
      </c>
      <c r="E27" s="2" t="s">
        <v>58</v>
      </c>
      <c r="F27" s="5">
        <v>5</v>
      </c>
      <c r="G27" s="5">
        <f t="shared" si="0"/>
        <v>5</v>
      </c>
      <c r="H27" s="4">
        <v>119.99</v>
      </c>
      <c r="I27" s="7" t="s">
        <v>199</v>
      </c>
      <c r="J27" s="2">
        <v>7926728669</v>
      </c>
      <c r="K27" s="2" t="s">
        <v>59</v>
      </c>
      <c r="M27" s="9">
        <f>F27*H27</f>
        <v>599.94999999999993</v>
      </c>
      <c r="N27" s="9"/>
    </row>
    <row r="28" spans="1:14" x14ac:dyDescent="0.3">
      <c r="A28" s="2" t="s">
        <v>172</v>
      </c>
      <c r="B28" s="2" t="s">
        <v>35</v>
      </c>
      <c r="C28" s="2" t="s">
        <v>173</v>
      </c>
      <c r="D28" s="3">
        <v>45421</v>
      </c>
      <c r="E28" s="2" t="s">
        <v>119</v>
      </c>
      <c r="F28" s="5">
        <v>1</v>
      </c>
      <c r="G28" s="5">
        <f t="shared" si="0"/>
        <v>1</v>
      </c>
      <c r="H28" s="4">
        <v>149.99</v>
      </c>
      <c r="I28" s="7" t="s">
        <v>20</v>
      </c>
      <c r="J28" s="2">
        <f>1-346-8179</f>
        <v>-8524</v>
      </c>
      <c r="K28" s="2" t="s">
        <v>59</v>
      </c>
      <c r="M28" s="9">
        <f>F28*H28</f>
        <v>149.99</v>
      </c>
      <c r="N28" s="9"/>
    </row>
    <row r="29" spans="1:14" x14ac:dyDescent="0.3">
      <c r="A29" s="2" t="s">
        <v>148</v>
      </c>
      <c r="B29" s="2" t="s">
        <v>35</v>
      </c>
      <c r="C29" s="2" t="s">
        <v>149</v>
      </c>
      <c r="D29" s="3">
        <v>45482</v>
      </c>
      <c r="E29" s="2" t="s">
        <v>150</v>
      </c>
      <c r="F29" s="5">
        <v>3</v>
      </c>
      <c r="G29" s="5">
        <f t="shared" si="0"/>
        <v>3</v>
      </c>
      <c r="H29" s="4">
        <v>79.989999999999995</v>
      </c>
      <c r="I29" s="7" t="s">
        <v>199</v>
      </c>
      <c r="J29" s="2" t="s">
        <v>151</v>
      </c>
      <c r="K29" s="2" t="s">
        <v>59</v>
      </c>
      <c r="M29" s="9">
        <f>F29*H29</f>
        <v>239.96999999999997</v>
      </c>
      <c r="N29" s="9"/>
    </row>
    <row r="30" spans="1:14" x14ac:dyDescent="0.3">
      <c r="A30" s="2" t="s">
        <v>28</v>
      </c>
      <c r="B30" s="2" t="s">
        <v>29</v>
      </c>
      <c r="C30" s="2" t="s">
        <v>30</v>
      </c>
      <c r="D30" s="3">
        <v>45647</v>
      </c>
      <c r="E30" s="2" t="s">
        <v>31</v>
      </c>
      <c r="F30" s="5">
        <v>1</v>
      </c>
      <c r="G30" s="5">
        <f t="shared" si="0"/>
        <v>1</v>
      </c>
      <c r="H30" s="4">
        <v>49.99</v>
      </c>
      <c r="I30" s="7" t="s">
        <v>199</v>
      </c>
      <c r="J30" s="2">
        <v>6377058351</v>
      </c>
      <c r="K30" s="2" t="s">
        <v>12</v>
      </c>
      <c r="M30" s="9">
        <f>F30*H30</f>
        <v>49.99</v>
      </c>
      <c r="N30" s="9"/>
    </row>
    <row r="31" spans="1:14" x14ac:dyDescent="0.3">
      <c r="A31" s="2" t="s">
        <v>117</v>
      </c>
      <c r="B31" s="2" t="s">
        <v>80</v>
      </c>
      <c r="C31" s="2" t="s">
        <v>118</v>
      </c>
      <c r="D31" s="3">
        <v>45856</v>
      </c>
      <c r="E31" s="2" t="s">
        <v>119</v>
      </c>
      <c r="F31" s="5">
        <v>2</v>
      </c>
      <c r="G31" s="5">
        <f t="shared" si="0"/>
        <v>2</v>
      </c>
      <c r="H31" s="4">
        <v>149.99</v>
      </c>
      <c r="I31" s="7" t="s">
        <v>20</v>
      </c>
      <c r="J31" s="2" t="s">
        <v>120</v>
      </c>
      <c r="K31" s="2" t="s">
        <v>204</v>
      </c>
      <c r="M31" s="9">
        <f>F31*H31</f>
        <v>299.98</v>
      </c>
      <c r="N31" s="9"/>
    </row>
    <row r="32" spans="1:14" x14ac:dyDescent="0.3">
      <c r="A32" s="2" t="s">
        <v>43</v>
      </c>
      <c r="B32" s="2" t="s">
        <v>44</v>
      </c>
      <c r="C32" s="2" t="s">
        <v>45</v>
      </c>
      <c r="D32" s="3">
        <v>45627</v>
      </c>
      <c r="E32" s="2" t="s">
        <v>46</v>
      </c>
      <c r="F32" s="6"/>
      <c r="G32" s="5">
        <f t="shared" si="0"/>
        <v>2.2941176470588234</v>
      </c>
      <c r="H32" s="4">
        <v>19.989999999999998</v>
      </c>
      <c r="I32" s="7" t="s">
        <v>20</v>
      </c>
      <c r="J32" s="2">
        <v>7066312714</v>
      </c>
      <c r="K32" s="2" t="s">
        <v>200</v>
      </c>
      <c r="M32" s="9">
        <f>F32*H32</f>
        <v>0</v>
      </c>
      <c r="N32" s="9"/>
    </row>
    <row r="33" spans="1:14" x14ac:dyDescent="0.3">
      <c r="A33" s="2" t="s">
        <v>84</v>
      </c>
      <c r="B33" s="2" t="s">
        <v>85</v>
      </c>
      <c r="C33" s="2" t="s">
        <v>86</v>
      </c>
      <c r="D33" s="3">
        <v>45778</v>
      </c>
      <c r="E33" s="2" t="s">
        <v>87</v>
      </c>
      <c r="F33" s="5">
        <v>1</v>
      </c>
      <c r="G33" s="5">
        <f t="shared" si="0"/>
        <v>1</v>
      </c>
      <c r="H33" s="4">
        <v>79.989999999999995</v>
      </c>
      <c r="I33" s="7" t="s">
        <v>199</v>
      </c>
      <c r="J33" s="2">
        <v>9044014286</v>
      </c>
      <c r="K33" s="2" t="s">
        <v>65</v>
      </c>
      <c r="M33" s="9">
        <f>F33*H33</f>
        <v>79.989999999999995</v>
      </c>
      <c r="N33" s="9"/>
    </row>
    <row r="34" spans="1:14" x14ac:dyDescent="0.3">
      <c r="A34" s="2" t="s">
        <v>13</v>
      </c>
      <c r="B34" s="2" t="s">
        <v>14</v>
      </c>
      <c r="C34" s="2" t="s">
        <v>15</v>
      </c>
      <c r="D34" s="3">
        <v>45518</v>
      </c>
      <c r="E34" s="2" t="s">
        <v>16</v>
      </c>
      <c r="F34" s="5">
        <v>3</v>
      </c>
      <c r="G34" s="5">
        <f t="shared" si="0"/>
        <v>3</v>
      </c>
      <c r="H34" s="4">
        <v>119.99</v>
      </c>
      <c r="I34" s="7" t="s">
        <v>20</v>
      </c>
      <c r="J34" s="2">
        <f>1-854-5833</f>
        <v>-6686</v>
      </c>
      <c r="K34" s="2" t="s">
        <v>12</v>
      </c>
      <c r="M34" s="9">
        <f>F34*H34</f>
        <v>359.96999999999997</v>
      </c>
      <c r="N34" s="9"/>
    </row>
    <row r="35" spans="1:14" x14ac:dyDescent="0.3">
      <c r="A35" s="2" t="s">
        <v>169</v>
      </c>
      <c r="B35" s="2" t="s">
        <v>170</v>
      </c>
      <c r="C35" s="2" t="s">
        <v>171</v>
      </c>
      <c r="D35" s="3">
        <v>45756</v>
      </c>
      <c r="E35" s="2" t="s">
        <v>207</v>
      </c>
      <c r="F35" s="5">
        <v>2</v>
      </c>
      <c r="G35" s="5">
        <f t="shared" si="0"/>
        <v>2</v>
      </c>
      <c r="H35" s="4">
        <v>29.99</v>
      </c>
      <c r="I35" s="7" t="s">
        <v>183</v>
      </c>
      <c r="J35" s="2">
        <f>1-722-8298</f>
        <v>-9019</v>
      </c>
      <c r="K35" s="2" t="s">
        <v>59</v>
      </c>
      <c r="M35" s="9">
        <f>F35*H35</f>
        <v>59.98</v>
      </c>
      <c r="N35" s="9"/>
    </row>
    <row r="36" spans="1:14" x14ac:dyDescent="0.3">
      <c r="A36" s="2" t="s">
        <v>190</v>
      </c>
      <c r="B36" s="2" t="s">
        <v>186</v>
      </c>
      <c r="C36" s="2" t="s">
        <v>191</v>
      </c>
      <c r="D36" s="3">
        <v>45607</v>
      </c>
      <c r="E36" s="2" t="s">
        <v>192</v>
      </c>
      <c r="F36" s="5">
        <v>5</v>
      </c>
      <c r="G36" s="5">
        <f t="shared" si="0"/>
        <v>5</v>
      </c>
      <c r="H36" s="4">
        <v>29.99</v>
      </c>
      <c r="I36" s="7" t="s">
        <v>199</v>
      </c>
      <c r="J36" s="2" t="s">
        <v>193</v>
      </c>
      <c r="K36" s="2" t="s">
        <v>12</v>
      </c>
      <c r="M36" s="9">
        <f>F36*H36</f>
        <v>149.94999999999999</v>
      </c>
      <c r="N36" s="9"/>
    </row>
    <row r="37" spans="1:14" x14ac:dyDescent="0.3">
      <c r="A37" s="2" t="s">
        <v>17</v>
      </c>
      <c r="B37" s="2" t="s">
        <v>18</v>
      </c>
      <c r="D37" s="3">
        <v>45791</v>
      </c>
      <c r="E37" s="2" t="s">
        <v>19</v>
      </c>
      <c r="F37" s="5">
        <v>1</v>
      </c>
      <c r="G37" s="5">
        <f t="shared" si="0"/>
        <v>1</v>
      </c>
      <c r="H37" s="4">
        <v>149.99</v>
      </c>
      <c r="I37" s="7" t="s">
        <v>20</v>
      </c>
      <c r="J37" s="2" t="s">
        <v>21</v>
      </c>
      <c r="K37" s="2" t="s">
        <v>22</v>
      </c>
      <c r="M37" s="9">
        <f>F37*H37</f>
        <v>149.99</v>
      </c>
      <c r="N37" s="9"/>
    </row>
    <row r="38" spans="1:14" x14ac:dyDescent="0.3">
      <c r="A38" s="2" t="s">
        <v>79</v>
      </c>
      <c r="B38" s="2" t="s">
        <v>80</v>
      </c>
      <c r="C38" s="2" t="s">
        <v>81</v>
      </c>
      <c r="D38" s="3">
        <v>45654</v>
      </c>
      <c r="E38" s="2" t="s">
        <v>82</v>
      </c>
      <c r="F38" s="5">
        <v>2</v>
      </c>
      <c r="G38" s="5">
        <f t="shared" si="0"/>
        <v>2</v>
      </c>
      <c r="H38" s="4">
        <v>39.99</v>
      </c>
      <c r="I38" s="7" t="s">
        <v>20</v>
      </c>
      <c r="J38" s="2" t="s">
        <v>83</v>
      </c>
      <c r="K38" s="2" t="s">
        <v>65</v>
      </c>
      <c r="M38" s="9">
        <f>F38*H38</f>
        <v>79.98</v>
      </c>
      <c r="N38" s="9"/>
    </row>
    <row r="39" spans="1:14" x14ac:dyDescent="0.3">
      <c r="A39" s="2" t="s">
        <v>174</v>
      </c>
      <c r="B39" s="2" t="s">
        <v>175</v>
      </c>
      <c r="C39" s="2" t="s">
        <v>176</v>
      </c>
      <c r="D39" s="3">
        <v>45680</v>
      </c>
      <c r="E39" s="2" t="s">
        <v>177</v>
      </c>
      <c r="F39" s="5">
        <v>2</v>
      </c>
      <c r="G39" s="5">
        <f t="shared" si="0"/>
        <v>2</v>
      </c>
      <c r="H39" s="4">
        <v>49.99</v>
      </c>
      <c r="I39" s="7" t="s">
        <v>199</v>
      </c>
      <c r="M39" s="9">
        <f>F39*H39</f>
        <v>99.98</v>
      </c>
      <c r="N39" s="9"/>
    </row>
    <row r="40" spans="1:14" x14ac:dyDescent="0.3">
      <c r="A40" s="2" t="s">
        <v>125</v>
      </c>
      <c r="B40" s="2" t="s">
        <v>126</v>
      </c>
      <c r="C40" s="2" t="s">
        <v>127</v>
      </c>
      <c r="D40" s="3">
        <v>45368</v>
      </c>
      <c r="E40" s="2" t="s">
        <v>128</v>
      </c>
      <c r="F40" s="5">
        <v>1</v>
      </c>
      <c r="G40" s="5">
        <f t="shared" si="0"/>
        <v>1</v>
      </c>
      <c r="H40" s="4">
        <v>79.989999999999995</v>
      </c>
      <c r="I40" s="7" t="s">
        <v>199</v>
      </c>
      <c r="J40" s="2">
        <v>7164344392</v>
      </c>
      <c r="K40" s="2" t="s">
        <v>59</v>
      </c>
      <c r="M40" s="9">
        <f>F40*H40</f>
        <v>79.989999999999995</v>
      </c>
      <c r="N40" s="9"/>
    </row>
    <row r="41" spans="1:14" x14ac:dyDescent="0.3">
      <c r="A41" s="2" t="s">
        <v>7</v>
      </c>
      <c r="B41" s="2" t="s">
        <v>8</v>
      </c>
      <c r="C41" s="2" t="s">
        <v>9</v>
      </c>
      <c r="D41" s="3">
        <v>45685</v>
      </c>
      <c r="E41" s="2" t="s">
        <v>10</v>
      </c>
      <c r="F41" s="5">
        <v>1</v>
      </c>
      <c r="G41" s="5">
        <f t="shared" si="0"/>
        <v>1</v>
      </c>
      <c r="H41" s="4">
        <v>119.99</v>
      </c>
      <c r="I41" s="7" t="s">
        <v>199</v>
      </c>
      <c r="J41" s="2" t="s">
        <v>11</v>
      </c>
      <c r="K41" s="2" t="s">
        <v>12</v>
      </c>
      <c r="M41" s="9">
        <f>F41*H41</f>
        <v>119.99</v>
      </c>
      <c r="N41" s="9"/>
    </row>
    <row r="42" spans="1:14" x14ac:dyDescent="0.3">
      <c r="A42" s="2" t="s">
        <v>131</v>
      </c>
      <c r="B42" s="2" t="s">
        <v>208</v>
      </c>
      <c r="C42" s="2" t="s">
        <v>209</v>
      </c>
      <c r="D42" s="3">
        <v>45356</v>
      </c>
      <c r="E42" s="2" t="s">
        <v>95</v>
      </c>
      <c r="F42" s="5">
        <v>2</v>
      </c>
      <c r="G42" s="5">
        <f t="shared" si="0"/>
        <v>2</v>
      </c>
      <c r="H42" s="4">
        <v>149.99</v>
      </c>
      <c r="I42" s="7" t="s">
        <v>199</v>
      </c>
      <c r="J42" s="2" t="s">
        <v>132</v>
      </c>
      <c r="K42" s="2" t="s">
        <v>200</v>
      </c>
      <c r="M42" s="9">
        <f>F42*H42</f>
        <v>299.98</v>
      </c>
      <c r="N42" s="9"/>
    </row>
    <row r="43" spans="1:14" x14ac:dyDescent="0.3">
      <c r="A43" s="2" t="s">
        <v>167</v>
      </c>
      <c r="B43" s="2" t="s">
        <v>205</v>
      </c>
      <c r="C43" s="2" t="s">
        <v>210</v>
      </c>
      <c r="D43" s="3">
        <v>45665</v>
      </c>
      <c r="E43" s="2" t="s">
        <v>211</v>
      </c>
      <c r="F43" s="5">
        <v>2</v>
      </c>
      <c r="G43" s="5">
        <f t="shared" si="0"/>
        <v>2</v>
      </c>
      <c r="H43" s="4">
        <v>29.99</v>
      </c>
      <c r="I43" s="7" t="s">
        <v>199</v>
      </c>
      <c r="J43" s="2" t="s">
        <v>168</v>
      </c>
      <c r="M43" s="9">
        <f>F43*H43</f>
        <v>59.98</v>
      </c>
      <c r="N43" s="9"/>
    </row>
    <row r="44" spans="1:14" x14ac:dyDescent="0.3">
      <c r="A44" s="2" t="s">
        <v>47</v>
      </c>
      <c r="B44" s="2" t="s">
        <v>48</v>
      </c>
      <c r="C44" s="2" t="s">
        <v>49</v>
      </c>
      <c r="D44" s="3">
        <v>45755</v>
      </c>
      <c r="E44" s="2" t="s">
        <v>50</v>
      </c>
      <c r="F44" s="5">
        <v>5</v>
      </c>
      <c r="G44" s="5">
        <f t="shared" si="0"/>
        <v>5</v>
      </c>
      <c r="H44" s="4">
        <v>149.99</v>
      </c>
      <c r="I44" s="7" t="s">
        <v>20</v>
      </c>
      <c r="J44" s="2" t="s">
        <v>51</v>
      </c>
      <c r="K44" s="2" t="s">
        <v>22</v>
      </c>
      <c r="M44" s="9">
        <f>F44*H44</f>
        <v>749.95</v>
      </c>
      <c r="N44" s="9"/>
    </row>
    <row r="45" spans="1:14" x14ac:dyDescent="0.3">
      <c r="A45" s="2" t="s">
        <v>88</v>
      </c>
      <c r="B45" s="2" t="s">
        <v>89</v>
      </c>
      <c r="C45" s="2" t="s">
        <v>90</v>
      </c>
      <c r="D45" s="3">
        <v>45461</v>
      </c>
      <c r="E45" s="2" t="s">
        <v>91</v>
      </c>
      <c r="F45" s="5">
        <v>1</v>
      </c>
      <c r="G45" s="5">
        <f t="shared" si="0"/>
        <v>1</v>
      </c>
      <c r="H45" s="4">
        <v>29.99</v>
      </c>
      <c r="I45" s="7" t="s">
        <v>199</v>
      </c>
      <c r="J45" s="2" t="s">
        <v>92</v>
      </c>
      <c r="M45" s="9">
        <f>F45*H45</f>
        <v>29.99</v>
      </c>
      <c r="N45" s="9"/>
    </row>
    <row r="46" spans="1:14" x14ac:dyDescent="0.3">
      <c r="A46" s="2" t="s">
        <v>162</v>
      </c>
      <c r="B46" s="2" t="s">
        <v>72</v>
      </c>
      <c r="C46" s="2" t="s">
        <v>163</v>
      </c>
      <c r="D46" s="3">
        <v>45575</v>
      </c>
      <c r="E46" s="2" t="s">
        <v>212</v>
      </c>
      <c r="F46" s="5">
        <v>2</v>
      </c>
      <c r="G46" s="5">
        <f t="shared" si="0"/>
        <v>2</v>
      </c>
      <c r="H46" s="4">
        <v>39.99</v>
      </c>
      <c r="I46" s="7" t="s">
        <v>199</v>
      </c>
      <c r="J46" s="2">
        <f>1-338-7743</f>
        <v>-8080</v>
      </c>
      <c r="K46" s="2" t="s">
        <v>59</v>
      </c>
      <c r="M46" s="9">
        <f>F46*H46</f>
        <v>79.98</v>
      </c>
      <c r="N46" s="9"/>
    </row>
    <row r="47" spans="1:14" x14ac:dyDescent="0.3">
      <c r="A47" s="2" t="s">
        <v>113</v>
      </c>
      <c r="B47" s="2" t="s">
        <v>85</v>
      </c>
      <c r="C47" s="2" t="s">
        <v>114</v>
      </c>
      <c r="D47" s="3">
        <v>45871</v>
      </c>
      <c r="E47" s="2" t="s">
        <v>115</v>
      </c>
      <c r="F47" s="5">
        <v>3</v>
      </c>
      <c r="G47" s="5">
        <f t="shared" si="0"/>
        <v>3</v>
      </c>
      <c r="H47" s="4">
        <v>19.989999999999998</v>
      </c>
      <c r="I47" s="7" t="s">
        <v>199</v>
      </c>
      <c r="J47" s="2" t="s">
        <v>116</v>
      </c>
      <c r="K47" s="2" t="s">
        <v>200</v>
      </c>
      <c r="M47" s="9">
        <f>F47*H47</f>
        <v>59.97</v>
      </c>
      <c r="N47" s="9"/>
    </row>
    <row r="48" spans="1:14" x14ac:dyDescent="0.3">
      <c r="A48" s="2" t="s">
        <v>34</v>
      </c>
      <c r="B48" s="2" t="s">
        <v>35</v>
      </c>
      <c r="C48" s="2" t="s">
        <v>36</v>
      </c>
      <c r="D48" s="3">
        <v>45301</v>
      </c>
      <c r="E48" s="2" t="s">
        <v>37</v>
      </c>
      <c r="F48" s="5">
        <v>3</v>
      </c>
      <c r="G48" s="5">
        <f t="shared" si="0"/>
        <v>3</v>
      </c>
      <c r="H48" s="4">
        <v>39.99</v>
      </c>
      <c r="I48" s="7" t="s">
        <v>199</v>
      </c>
      <c r="J48" s="2" t="s">
        <v>38</v>
      </c>
      <c r="K48" s="2" t="s">
        <v>22</v>
      </c>
      <c r="M48" s="9">
        <f>F48*H48</f>
        <v>119.97</v>
      </c>
      <c r="N48" s="9"/>
    </row>
    <row r="49" spans="1:14" x14ac:dyDescent="0.3">
      <c r="A49" s="2" t="s">
        <v>129</v>
      </c>
      <c r="B49" s="2" t="s">
        <v>98</v>
      </c>
      <c r="C49" s="2" t="s">
        <v>130</v>
      </c>
      <c r="D49" s="3">
        <v>45731</v>
      </c>
      <c r="E49" s="2" t="s">
        <v>213</v>
      </c>
      <c r="F49" s="5">
        <v>3</v>
      </c>
      <c r="G49" s="5">
        <f t="shared" si="0"/>
        <v>3</v>
      </c>
      <c r="H49" s="4">
        <v>29.99</v>
      </c>
      <c r="I49" s="7" t="s">
        <v>199</v>
      </c>
      <c r="J49" s="2">
        <f>1-803-7291</f>
        <v>-8093</v>
      </c>
      <c r="K49" s="2" t="s">
        <v>12</v>
      </c>
      <c r="M49" s="9">
        <f>F49*H49</f>
        <v>89.97</v>
      </c>
      <c r="N49" s="9"/>
    </row>
    <row r="50" spans="1:14" x14ac:dyDescent="0.3">
      <c r="G50" s="5"/>
    </row>
    <row r="51" spans="1:14" x14ac:dyDescent="0.3">
      <c r="G51" s="5"/>
    </row>
    <row r="52" spans="1:14" x14ac:dyDescent="0.3">
      <c r="G52" s="5"/>
    </row>
    <row r="53" spans="1:14" x14ac:dyDescent="0.3">
      <c r="G53" s="5"/>
    </row>
    <row r="54" spans="1:14" x14ac:dyDescent="0.3">
      <c r="G54" s="5"/>
    </row>
    <row r="55" spans="1:14" x14ac:dyDescent="0.3">
      <c r="G55" s="5"/>
    </row>
    <row r="56" spans="1:14" x14ac:dyDescent="0.3">
      <c r="G56" s="5"/>
    </row>
    <row r="57" spans="1:14" x14ac:dyDescent="0.3">
      <c r="G57" s="5"/>
    </row>
    <row r="58" spans="1:14" x14ac:dyDescent="0.3">
      <c r="G58" s="5"/>
    </row>
  </sheetData>
  <autoFilter ref="F1:F51" xr:uid="{2E2D0A11-87D7-46D3-92B1-E3C281F12D7F}"/>
  <sortState xmlns:xlrd2="http://schemas.microsoft.com/office/spreadsheetml/2017/richdata2" ref="A2:K50">
    <sortCondition ref="A1:A50"/>
  </sortState>
  <conditionalFormatting sqref="F1:G1048576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Kannan</dc:creator>
  <cp:lastModifiedBy>Priya Kannan</cp:lastModifiedBy>
  <dcterms:created xsi:type="dcterms:W3CDTF">2025-11-03T09:19:10Z</dcterms:created>
  <dcterms:modified xsi:type="dcterms:W3CDTF">2025-11-06T10:24:27Z</dcterms:modified>
</cp:coreProperties>
</file>